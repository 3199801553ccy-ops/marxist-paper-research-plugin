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74db93a5544e0c" /></Relationships>
</file>

<file path=xl/workbook.xml><?xml version="1.0" encoding="utf-8"?>
<x:workbook xmlns:x="http://schemas.openxmlformats.org/spreadsheetml/2006/main">
  <x:sheets>
    <x:sheet xmlns:r="http://schemas.openxmlformats.org/officeDocument/2006/relationships" name="文献总表" sheetId="1" r:id="Reb0fb0b5e6d04028"/>
    <x:sheet xmlns:r="http://schemas.openxmlformats.org/officeDocument/2006/relationships" name="统计说明" sheetId="2" r:id="Rf4e004dce9bf4db2"/>
    <x:sheet xmlns:r="http://schemas.openxmlformats.org/officeDocument/2006/relationships" name="优先精读" sheetId="3" r:id="Raca3d90e28fc48f6"/>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sz val="10"/>
      <x:name val="Microsoft YaHei"/>
    </x:font>
    <x:font>
      <x:b/>
      <x:sz val="10"/>
      <x:color rgb="FFFFFFFF"/>
      <x:name val="Microsoft YaHei"/>
    </x:font>
    <x:font>
      <x:b/>
      <x:sz val="18"/>
      <x:color rgb="FFFFFFFF"/>
      <x:name val="Carlito"/>
    </x:font>
    <x:font>
      <x:b/>
      <x:sz val="11"/>
      <x:color rgb="FF274E13"/>
      <x:name val="Carlito"/>
    </x:font>
    <x:font>
      <x:b/>
      <x:sz val="11"/>
      <x:color rgb="FF7A1F2B"/>
      <x:name val="Carlito"/>
    </x:font>
    <x:font>
      <x:b/>
      <x:sz val="18"/>
      <x:color rgb="FFFFFFFF"/>
      <x:name val="Microsoft YaHei"/>
    </x:font>
    <x:font>
      <x:sz val="11"/>
      <x:name val="Microsoft YaHei"/>
    </x:font>
    <x:font>
      <x:b/>
      <x:sz val="11"/>
      <x:color rgb="FF274E13"/>
      <x:name val="Microsoft YaHei"/>
    </x:font>
    <x:font>
      <x:b/>
      <x:sz val="11"/>
      <x:color rgb="FF7A1F2B"/>
      <x:name val="Microsoft YaHei"/>
    </x:font>
    <x:font>
      <x:b/>
      <x:sz val="16"/>
      <x:color rgb="FFFFFFFF"/>
      <x:name val="Carlito"/>
    </x:font>
  </x:fonts>
  <x:fills count="6">
    <x:fill>
      <x:patternFill patternType="none"/>
    </x:fill>
    <x:fill>
      <x:patternFill patternType="gray125"/>
    </x:fill>
    <x:fill>
      <x:patternFill patternType="solid">
        <x:fgColor rgb="FF7A1F2B"/>
      </x:patternFill>
    </x:fill>
    <x:fill>
      <x:patternFill patternType="solid">
        <x:fgColor rgb="FFD9EAD3"/>
      </x:patternFill>
    </x:fill>
    <x:fill>
      <x:patternFill patternType="solid">
        <x:fgColor rgb="FFF4CCCC"/>
      </x:patternFill>
    </x:fill>
    <x:fill>
      <x:patternFill patternType="solid">
        <x:fgColor rgb="FFFFF9F0"/>
      </x:patternFill>
    </x:fill>
  </x:fills>
  <x:borders count="19">
    <x:border/>
    <x:border>
      <x:left style="medium">
        <x:color rgb="FF7A1F2B"/>
      </x:left>
      <x:top style="medium">
        <x:color rgb="FF7A1F2B"/>
      </x:top>
      <x:bottom style="medium">
        <x:color rgb="FF7A1F2B"/>
      </x:bottom>
    </x:border>
    <x:border>
      <x:top style="medium">
        <x:color rgb="FF7A1F2B"/>
      </x:top>
      <x:bottom style="medium">
        <x:color rgb="FF7A1F2B"/>
      </x:bottom>
    </x:border>
    <x:border>
      <x:right style="medium">
        <x:color rgb="FF7A1F2B"/>
      </x:right>
      <x:top style="medium">
        <x:color rgb="FF7A1F2B"/>
      </x:top>
      <x:bottom style="medium">
        <x:color rgb="FF7A1F2B"/>
      </x:bottom>
    </x:border>
    <x:border>
      <x:bottom style="thin">
        <x:color rgb="FFE6D7D9"/>
      </x:bottom>
    </x:border>
    <x:border>
      <x:top style="thin">
        <x:color rgb="FFE6D7D9"/>
      </x:top>
      <x:bottom style="thin">
        <x:color rgb="FFE6D7D9"/>
      </x:bottom>
    </x:border>
    <x:border>
      <x:top style="thin">
        <x:color rgb="FFE6D7D9"/>
      </x:top>
    </x:border>
    <x:border>
      <x:left style="thin">
        <x:color rgb="FFC9C9C9"/>
      </x:left>
      <x:right style="thin">
        <x:color rgb="FFC9C9C9"/>
      </x:right>
      <x:top style="thin">
        <x:color rgb="FFC9C9C9"/>
      </x:top>
      <x:bottom style="thin">
        <x:color rgb="FFC9C9C9"/>
      </x:bottom>
    </x:border>
    <x:border>
      <x:left style="thin">
        <x:color rgb="FFD8C8B8"/>
      </x:left>
      <x:top style="thin">
        <x:color rgb="FFD8C8B8"/>
      </x:top>
    </x:border>
    <x:border>
      <x:top style="thin">
        <x:color rgb="FFD8C8B8"/>
      </x:top>
    </x:border>
    <x:border>
      <x:right style="thin">
        <x:color rgb="FFD8C8B8"/>
      </x:right>
      <x:top style="thin">
        <x:color rgb="FFD8C8B8"/>
      </x:top>
    </x:border>
    <x:border>
      <x:left style="thin">
        <x:color rgb="FFD8C8B8"/>
      </x:left>
    </x:border>
    <x:border>
      <x:right style="thin">
        <x:color rgb="FFD8C8B8"/>
      </x:right>
    </x:border>
    <x:border>
      <x:left style="thin">
        <x:color rgb="FFD8C8B8"/>
      </x:left>
      <x:bottom style="thin">
        <x:color rgb="FFD8C8B8"/>
      </x:bottom>
    </x:border>
    <x:border>
      <x:bottom style="thin">
        <x:color rgb="FFD8C8B8"/>
      </x:bottom>
    </x:border>
    <x:border>
      <x:right style="thin">
        <x:color rgb="FFD8C8B8"/>
      </x:right>
      <x:bottom style="thin">
        <x:color rgb="FFD8C8B8"/>
      </x:bottom>
    </x:border>
    <x:border>
      <x:bottom style="thin">
        <x:color rgb="FFDDDDDD"/>
      </x:bottom>
    </x:border>
    <x:border>
      <x:top style="thin">
        <x:color rgb="FFDDDDDD"/>
      </x:top>
      <x:bottom style="thin">
        <x:color rgb="FFDDDDDD"/>
      </x:bottom>
    </x:border>
    <x:border>
      <x:top style="thin">
        <x:color rgb="FFDDDDDD"/>
      </x:top>
    </x:border>
  </x:borders>
  <x:cellStyleXfs count="1">
    <x:xf numFmtId="0" fontId="0" fillId="0" borderId="0"/>
  </x:cellStyleXfs>
  <x:cellXfs count="7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x:xf>
    <x:xf numFmtId="0" fontId="1" fillId="0" borderId="5" xfId="0" applyNumberFormat="1" applyFont="1" applyFill="1" applyBorder="1" applyAlignment="1">
      <x:alignment vertical="top"/>
    </x:xf>
    <x:xf numFmtId="0" fontId="1" fillId="0" borderId="6" xfId="0" applyNumberFormat="1" applyFont="1" applyFill="1" applyBorder="1" applyAlignment="1">
      <x:alignment vertical="top"/>
    </x:xf>
    <x:xf numFmtId="0" fontId="1" fillId="0" borderId="4" xfId="0" applyNumberFormat="1" applyFont="1" applyFill="1" applyBorder="1" applyAlignment="1">
      <x:alignment horizontal="center" vertical="top"/>
    </x:xf>
    <x:xf numFmtId="0" fontId="1" fillId="0" borderId="5" xfId="0" applyNumberFormat="1" applyFont="1" applyFill="1" applyBorder="1" applyAlignment="1">
      <x:alignment horizontal="center" vertical="top"/>
    </x:xf>
    <x:xf numFmtId="0" fontId="1" fillId="0" borderId="6" xfId="0" applyNumberFormat="1" applyFont="1" applyFill="1" applyBorder="1" applyAlignment="1">
      <x:alignment horizontal="center" vertical="top"/>
    </x:xf>
    <x:xf numFmtId="0" fontId="1" fillId="0" borderId="4" xfId="0" applyNumberFormat="1" applyFont="1" applyFill="1" applyBorder="1" applyAlignment="1">
      <x:alignment vertical="top" wrapText="1"/>
    </x:xf>
    <x:xf numFmtId="0" fontId="1" fillId="0" borderId="4" xfId="0" applyNumberFormat="1" applyFont="1" applyFill="1" applyBorder="1" applyAlignment="1">
      <x:alignment horizontal="center" vertical="top" wrapText="1"/>
    </x:xf>
    <x:xf numFmtId="0" fontId="1" fillId="0" borderId="5" xfId="0" applyNumberFormat="1" applyFont="1" applyFill="1" applyBorder="1" applyAlignment="1">
      <x:alignment vertical="top" wrapText="1"/>
    </x:xf>
    <x:xf numFmtId="0" fontId="1" fillId="0" borderId="5" xfId="0" applyNumberFormat="1" applyFont="1" applyFill="1" applyBorder="1" applyAlignment="1">
      <x:alignment horizontal="center" vertical="top" wrapText="1"/>
    </x:xf>
    <x:xf numFmtId="0" fontId="1" fillId="0" borderId="6" xfId="0" applyNumberFormat="1" applyFont="1" applyFill="1" applyBorder="1" applyAlignment="1">
      <x:alignment vertical="top" wrapText="1"/>
    </x:xf>
    <x:xf numFmtId="0" fontId="1" fillId="0" borderId="6" xfId="0" applyNumberFormat="1" applyFont="1" applyFill="1" applyBorder="1" applyAlignment="1">
      <x:alignment horizontal="center"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0" fillId="3" borderId="0" xfId="0" applyNumberFormat="1" applyFont="1" applyFill="1" applyBorder="1"/>
    <x:xf numFmtId="0" fontId="4" fillId="3" borderId="0" xfId="0" applyNumberFormat="1" applyFont="1" applyFill="1" applyBorder="1"/>
    <x:xf numFmtId="0" fontId="4" fillId="3" borderId="7" xfId="0" applyNumberFormat="1" applyFont="1" applyFill="1" applyBorder="1"/>
    <x:xf numFmtId="0" fontId="0" fillId="0" borderId="7"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0" fillId="5" borderId="0" xfId="0" applyNumberFormat="1" applyFont="1" applyFill="1" applyBorder="1"/>
    <x:xf numFmtId="0" fontId="0" fillId="5" borderId="8" xfId="0" applyNumberFormat="1" applyFont="1" applyFill="1" applyBorder="1"/>
    <x:xf numFmtId="0" fontId="0" fillId="5" borderId="9" xfId="0" applyNumberFormat="1" applyFont="1" applyFill="1" applyBorder="1"/>
    <x:xf numFmtId="0" fontId="0" fillId="5" borderId="10" xfId="0" applyNumberFormat="1" applyFont="1" applyFill="1" applyBorder="1"/>
    <x:xf numFmtId="0" fontId="0" fillId="5" borderId="11"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5" borderId="15" xfId="0" applyNumberFormat="1" applyFont="1" applyFill="1" applyBorder="1"/>
    <x:xf numFmtId="0" fontId="0" fillId="5" borderId="8" xfId="0" applyNumberFormat="1" applyFont="1" applyFill="1" applyBorder="1" applyAlignment="1">
      <x:alignment wrapText="1"/>
    </x:xf>
    <x:xf numFmtId="0" fontId="0" fillId="5" borderId="9" xfId="0" applyNumberFormat="1" applyFont="1" applyFill="1" applyBorder="1" applyAlignment="1">
      <x:alignment wrapText="1"/>
    </x:xf>
    <x:xf numFmtId="0" fontId="0" fillId="5" borderId="10" xfId="0" applyNumberFormat="1" applyFont="1" applyFill="1" applyBorder="1" applyAlignment="1">
      <x:alignment wrapText="1"/>
    </x:xf>
    <x:xf numFmtId="0" fontId="0" fillId="5" borderId="1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2" xfId="0" applyNumberFormat="1" applyFont="1" applyFill="1" applyBorder="1" applyAlignment="1">
      <x:alignment wrapText="1"/>
    </x:xf>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15" xfId="0" applyNumberFormat="1" applyFont="1" applyFill="1" applyBorder="1" applyAlignment="1">
      <x:alignment wrapText="1"/>
    </x:xf>
    <x:xf numFmtId="0" fontId="6" fillId="2" borderId="0" xfId="0" applyNumberFormat="1" applyFont="1" applyFill="1" applyBorder="1" applyAlignment="1">
      <x:alignment horizontal="center" vertical="center"/>
    </x:xf>
    <x:xf numFmtId="0" fontId="7" fillId="0" borderId="0" xfId="0" applyNumberFormat="1" applyFont="1" applyFill="1" applyBorder="1"/>
    <x:xf numFmtId="0" fontId="8" fillId="3" borderId="7" xfId="0" applyNumberFormat="1" applyFont="1" applyFill="1" applyBorder="1"/>
    <x:xf numFmtId="0" fontId="9" fillId="4" borderId="0" xfId="0" applyNumberFormat="1" applyFont="1" applyFill="1" applyBorder="1"/>
    <x:xf numFmtId="0" fontId="7" fillId="0" borderId="7" xfId="0" applyNumberFormat="1" applyFont="1" applyFill="1" applyBorder="1"/>
    <x:xf numFmtId="0" fontId="7" fillId="5" borderId="8" xfId="0" applyNumberFormat="1" applyFont="1" applyFill="1" applyBorder="1" applyAlignment="1">
      <x:alignment wrapText="1"/>
    </x:xf>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5" xfId="0" applyNumberFormat="1" applyFont="1" applyFill="1" applyBorder="1" applyAlignment="1">
      <x:alignment wrapText="1"/>
    </x:xf>
    <x:xf numFmtId="0" fontId="10" fillId="2" borderId="0" xfId="0" applyNumberFormat="1" applyFont="1" applyFill="1" applyBorder="1"/>
    <x:xf numFmtId="0" fontId="10" fillId="2" borderId="0" xfId="0" applyNumberFormat="1" applyFont="1" applyFill="1" applyBorder="1" applyAlignment="1">
      <x:alignment horizontal="center"/>
    </x:xf>
    <x:xf numFmtId="0" fontId="4" fillId="3" borderId="0" xfId="0" applyNumberFormat="1" applyFont="1" applyFill="1" applyBorder="1" applyAlignment="1">
      <x:alignment horizontal="center"/>
    </x:xf>
    <x:xf numFmtId="0" fontId="4" fillId="3" borderId="16" xfId="0" applyNumberFormat="1" applyFont="1" applyFill="1" applyBorder="1" applyAlignment="1">
      <x:alignment horizontal="center"/>
    </x:xf>
    <x:xf numFmtId="0" fontId="0" fillId="0" borderId="17" xfId="0" applyNumberFormat="1" applyFont="1" applyFill="1" applyBorder="1"/>
    <x:xf numFmtId="0" fontId="0" fillId="0" borderId="18" xfId="0" applyNumberFormat="1" applyFont="1" applyFill="1" applyBorder="1"/>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dxfs count="3">
    <x:dxf>
      <x:font>
        <x:color rgb="FF1F4E78"/>
      </x:font>
      <x:fill>
        <x:patternFill patternType="solid">
          <x:bgColor rgb="FFDDEBF7"/>
        </x:patternFill>
      </x:fill>
    </x:dxf>
    <x:dxf>
      <x:font>
        <x:color rgb="FF7F6000"/>
      </x:font>
      <x:fill>
        <x:patternFill patternType="solid">
          <x:bgColor rgb="FFFFF2CC"/>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e2b9c2a6ac414d" /><Relationship Type="http://schemas.openxmlformats.org/officeDocument/2006/relationships/theme" Target="/xl/theme/theme1.xml" Id="Rd9ed82428c244ad6" /><Relationship Type="http://schemas.openxmlformats.org/officeDocument/2006/relationships/sharedStrings" Target="/xl/sharedStrings.xml" Id="Rcda74bae40cb4171" /><Relationship Type="http://schemas.openxmlformats.org/officeDocument/2006/relationships/worksheet" Target="/xl/worksheets/sheet1.xml" Id="Reb0fb0b5e6d04028" /><Relationship Type="http://schemas.openxmlformats.org/officeDocument/2006/relationships/worksheet" Target="/xl/worksheets/sheet2.xml" Id="Rf4e004dce9bf4db2" /><Relationship Type="http://schemas.openxmlformats.org/officeDocument/2006/relationships/worksheet" Target="/xl/worksheets/sheet3.xml" Id="Raca3d90e28fc48f6" /></Relationships>
</file>

<file path=xl/tables/table1.xml><?xml version="1.0" encoding="utf-8"?>
<x:table xmlns:x="http://schemas.openxmlformats.org/spreadsheetml/2006/main" id="1" name="LiteratureTable" displayName="LiteratureTable" ref="A1:P201" headerRowCount="1" totalsRowCount="0" totalsRowShown="0">
  <x:tableColumns count="16">
    <x:tableColumn id="1" name="序号"/>
    <x:tableColumn id="2" name="作者"/>
    <x:tableColumn id="3" name="题名"/>
    <x:tableColumn id="4" name="来源"/>
    <x:tableColumn id="5" name="年份"/>
    <x:tableColumn id="6" name="期次/日期"/>
    <x:tableColumn id="7" name="页码/版次"/>
    <x:tableColumn id="8" name="来源级别"/>
    <x:tableColumn id="9" name="研究主题"/>
    <x:tableColumn id="10" name="核心命题"/>
    <x:tableColumn id="11" name="研究切口"/>
    <x:tableColumn id="12" name="研究方法"/>
    <x:tableColumn id="13" name="可借鉴点"/>
    <x:tableColumn id="14" name="与当前选题关系"/>
    <x:tableColumn id="15" name="核验状态"/>
    <x:tableColumn id="16" name="来源链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846992f4444cdb"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6" hidden="0" customWidth="1"/>
    <x:col min="3" max="3" width="44" hidden="0" customWidth="1"/>
    <x:col min="4" max="4" width="24" hidden="0" customWidth="1"/>
    <x:col min="5" max="5" width="9" hidden="0" customWidth="1"/>
    <x:col min="6" max="6" width="12" hidden="0" customWidth="1"/>
    <x:col min="7" max="7" width="12" hidden="0" customWidth="1"/>
    <x:col min="8" max="8" width="18" hidden="0" customWidth="1"/>
    <x:col min="9" max="9" width="16" hidden="0" customWidth="1"/>
    <x:col min="10" max="10" width="34" hidden="0" customWidth="1"/>
    <x:col min="11" max="11" width="24" hidden="0" customWidth="1"/>
    <x:col min="12" max="12" width="20" hidden="0" customWidth="1"/>
    <x:col min="13" max="13" width="34" hidden="0" customWidth="1"/>
    <x:col min="14" max="14" width="18" hidden="0" customWidth="1"/>
    <x:col min="15" max="15" width="18" hidden="0" customWidth="1"/>
    <x:col min="16" max="16" width="48" hidden="0" customWidth="1"/>
  </x:cols>
  <x:sheetData>
    <x:row r="1" ht="36" customHeight="1">
      <x:c r="A1" s="14" t="str">
        <x:v>序号</x:v>
      </x:c>
      <x:c r="B1" s="15" t="str">
        <x:v>作者</x:v>
      </x:c>
      <x:c r="C1" s="15" t="str">
        <x:v>题名</x:v>
      </x:c>
      <x:c r="D1" s="15" t="str">
        <x:v>来源</x:v>
      </x:c>
      <x:c r="E1" s="15" t="str">
        <x:v>年份</x:v>
      </x:c>
      <x:c r="F1" s="15" t="str">
        <x:v>期次/日期</x:v>
      </x:c>
      <x:c r="G1" s="15" t="str">
        <x:v>页码/版次</x:v>
      </x:c>
      <x:c r="H1" s="15" t="str">
        <x:v>来源级别</x:v>
      </x:c>
      <x:c r="I1" s="15" t="str">
        <x:v>研究主题</x:v>
      </x:c>
      <x:c r="J1" s="15" t="str">
        <x:v>核心命题</x:v>
      </x:c>
      <x:c r="K1" s="15" t="str">
        <x:v>研究切口</x:v>
      </x:c>
      <x:c r="L1" s="15" t="str">
        <x:v>研究方法</x:v>
      </x:c>
      <x:c r="M1" s="15" t="str">
        <x:v>可借鉴点</x:v>
      </x:c>
      <x:c r="N1" s="15" t="str">
        <x:v>与当前选题关系</x:v>
      </x:c>
      <x:c r="O1" s="15" t="str">
        <x:v>核验状态</x:v>
      </x:c>
      <x:c r="P1" s="16" t="str">
        <x:v>来源链接</x:v>
      </x:c>
    </x:row>
    <x:row r="2">
      <x:c r="A2" s="20" t="n">
        <x:v>1</x:v>
      </x:c>
      <x:c r="B2" s="23" t="str">
        <x:v>韩强、樊淑珍</x:v>
      </x:c>
      <x:c r="C2" s="23" t="str">
        <x:v>习近平党建思想：马克思主义党建学说发展的新阶段</x:v>
      </x:c>
      <x:c r="D2" s="23" t="str">
        <x:v>党政研究</x:v>
      </x:c>
      <x:c r="E2" s="24" t="str">
        <x:v>2023</x:v>
      </x:c>
      <x:c r="F2" s="24" t="str">
        <x:v>6</x:v>
      </x:c>
      <x:c r="G2" s="24" t="str"/>
      <x:c r="H2" s="24" t="str">
        <x:v>CSSCI来源期刊</x:v>
      </x:c>
      <x:c r="I2" s="23" t="str">
        <x:v>总体阐释</x:v>
      </x:c>
      <x:c r="J2" s="23" t="str">
        <x:v>党建思想的阶段性跃升</x:v>
      </x:c>
      <x:c r="K2" s="23" t="str">
        <x:v>理论史定位</x:v>
      </x:c>
      <x:c r="L2" s="23" t="str">
        <x:v>体系阐释</x:v>
      </x:c>
      <x:c r="M2" s="23" t="str">
        <x:v>作为早期直接命名研究，宜用于概念史回溯</x:v>
      </x:c>
      <x:c r="N2" s="23" t="str">
        <x:v>直接竞争</x:v>
      </x:c>
      <x:c r="O2" s="24" t="str">
        <x:v>摘要级学习</x:v>
      </x:c>
      <x:c r="P2" s="23" t="str">
        <x:v>https://gcys.cbpt.cnki.net/portal/journal/portal/client/paper/26324328521d222080dc8a2a1e3c8e89</x:v>
      </x:c>
    </x:row>
    <x:row r="3">
      <x:c r="A3" s="21" t="n">
        <x:v>2</x:v>
      </x:c>
      <x:c r="B3" s="25" t="str">
        <x:v>张浩、吴肖兵</x:v>
      </x:c>
      <x:c r="C3" s="25" t="str">
        <x:v>习近平总书记关于党的建设的重要思想形成逻辑、理论特质与价值意蕴</x:v>
      </x:c>
      <x:c r="D3" s="25" t="str">
        <x:v>特区实践与理论</x:v>
      </x:c>
      <x:c r="E3" s="26" t="str">
        <x:v>2024</x:v>
      </x:c>
      <x:c r="F3" s="26" t="str">
        <x:v>1</x:v>
      </x:c>
      <x:c r="G3" s="26" t="str"/>
      <x:c r="H3" s="26" t="str">
        <x:v>中文核心</x:v>
      </x:c>
      <x:c r="I3" s="25" t="str">
        <x:v>总体阐释</x:v>
      </x:c>
      <x:c r="J3" s="25" t="str">
        <x:v>从生成、特质、价值三层解释思想体系</x:v>
      </x:c>
      <x:c r="K3" s="25" t="str">
        <x:v>多重逻辑</x:v>
      </x:c>
      <x:c r="L3" s="25" t="str">
        <x:v>体系阐释</x:v>
      </x:c>
      <x:c r="M3" s="25" t="str">
        <x:v>三层结构完整，但需避免维度并列</x:v>
      </x:c>
      <x:c r="N3" s="25" t="str">
        <x:v>直接竞争</x:v>
      </x:c>
      <x:c r="O3" s="26" t="str">
        <x:v>题录核验</x:v>
      </x:c>
      <x:c r="P3" s="25" t="str">
        <x:v>https://gcys.cbpt.cnki.net/portal/journal/portal/client/paper/26324328521d222080dc8a2a1e3c8e89</x:v>
      </x:c>
    </x:row>
    <x:row r="4">
      <x:c r="A4" s="21" t="n">
        <x:v>3</x:v>
      </x:c>
      <x:c r="B4" s="25" t="str">
        <x:v>王可园、张琰</x:v>
      </x:c>
      <x:c r="C4" s="25" t="str">
        <x:v>习近平总书记关于党的建设的重要思想研究述评</x:v>
      </x:c>
      <x:c r="D4" s="25" t="str">
        <x:v>观察与思考</x:v>
      </x:c>
      <x:c r="E4" s="26" t="str">
        <x:v>2024</x:v>
      </x:c>
      <x:c r="F4" s="26" t="str">
        <x:v>6</x:v>
      </x:c>
      <x:c r="G4" s="26" t="str">
        <x:v>47-58</x:v>
      </x:c>
      <x:c r="H4" s="26" t="str">
        <x:v>AMI核心</x:v>
      </x:c>
      <x:c r="I4" s="25" t="str">
        <x:v>研究述评</x:v>
      </x:c>
      <x:c r="J4" s="25" t="str">
        <x:v>梳理生成逻辑、基本特征、价值意蕴、实践路径</x:v>
      </x:c>
      <x:c r="K4" s="25" t="str">
        <x:v>学术史</x:v>
      </x:c>
      <x:c r="L4" s="25" t="str">
        <x:v>文献综述</x:v>
      </x:c>
      <x:c r="M4" s="25" t="str">
        <x:v>指出问题意识、方法和学理深度不足</x:v>
      </x:c>
      <x:c r="N4" s="25" t="str">
        <x:v>核心综述</x:v>
      </x:c>
      <x:c r="O4" s="26" t="str">
        <x:v>全文页面核验</x:v>
      </x:c>
      <x:c r="P4" s="25" t="str">
        <x:v>https://gcys.cbpt.cnki.net/portal/journal/portal/client/paper/26324328521d222080dc8a2a1e3c8e89</x:v>
      </x:c>
    </x:row>
    <x:row r="5">
      <x:c r="A5" s="21" t="n">
        <x:v>4</x:v>
      </x:c>
      <x:c r="B5" s="25" t="str">
        <x:v>何虎生</x:v>
      </x:c>
      <x:c r="C5" s="25" t="str">
        <x:v>习近平总书记关于党的建设的重要思想的理论逻辑及创新贡献</x:v>
      </x:c>
      <x:c r="D5" s="25" t="str">
        <x:v>思想理论教育导刊</x:v>
      </x:c>
      <x:c r="E5" s="26" t="str">
        <x:v>2024</x:v>
      </x:c>
      <x:c r="F5" s="26" t="str">
        <x:v>12</x:v>
      </x:c>
      <x:c r="G5" s="26" t="str">
        <x:v>25-34</x:v>
      </x:c>
      <x:c r="H5" s="26" t="str">
        <x:v>CSSCI来源期刊</x:v>
      </x:c>
      <x:c r="I5" s="25" t="str">
        <x:v>理论体系</x:v>
      </x:c>
      <x:c r="J5" s="25" t="str">
        <x:v>以十三个坚持解释整体结构及原创贡献</x:v>
      </x:c>
      <x:c r="K5" s="25" t="str">
        <x:v>理论逻辑</x:v>
      </x:c>
      <x:c r="L5" s="25" t="str">
        <x:v>体系阐释</x:v>
      </x:c>
      <x:c r="M5" s="25" t="str">
        <x:v>适合比较十三个坚持到十四个坚持的结构变化</x:v>
      </x:c>
      <x:c r="N5" s="25" t="str">
        <x:v>直接竞争</x:v>
      </x:c>
      <x:c r="O5" s="26" t="str">
        <x:v>摘要级学习</x:v>
      </x:c>
      <x:c r="P5" s="25" t="str">
        <x:v>https://gxsj.cbpt.cnki.net/portal/journal/portal/client/paper/08ca8aef5531bbb9a524fc0d72bfc379</x:v>
      </x:c>
    </x:row>
    <x:row r="6">
      <x:c r="A6" s="21" t="n">
        <x:v>5</x:v>
      </x:c>
      <x:c r="B6" s="25" t="str">
        <x:v>吴一杭、罗嗣亮</x:v>
      </x:c>
      <x:c r="C6" s="25" t="str">
        <x:v>习近平总书记关于党的建设的重要思想的生成逻辑、理论要旨与原创性贡献</x:v>
      </x:c>
      <x:c r="D6" s="25" t="str">
        <x:v>中共济南市委党校学报</x:v>
      </x:c>
      <x:c r="E6" s="26" t="str">
        <x:v>2025</x:v>
      </x:c>
      <x:c r="F6" s="26" t="str">
        <x:v>3</x:v>
      </x:c>
      <x:c r="G6" s="26" t="str">
        <x:v>35-42</x:v>
      </x:c>
      <x:c r="H6" s="26" t="str">
        <x:v>党校学报</x:v>
      </x:c>
      <x:c r="I6" s="25" t="str">
        <x:v>总体阐释</x:v>
      </x:c>
      <x:c r="J6" s="25" t="str">
        <x:v>围绕长期执政马克思主义政党课题展开</x:v>
      </x:c>
      <x:c r="K6" s="25" t="str">
        <x:v>生成逻辑</x:v>
      </x:c>
      <x:c r="L6" s="25" t="str">
        <x:v>体系阐释</x:v>
      </x:c>
      <x:c r="M6" s="25" t="str">
        <x:v>可用于重大时代课题的表述</x:v>
      </x:c>
      <x:c r="N6" s="25" t="str">
        <x:v>直接支撑</x:v>
      </x:c>
      <x:c r="O6" s="26" t="str">
        <x:v>摘要级学习</x:v>
      </x:c>
      <x:c r="P6" s="25" t="str">
        <x:v>https://jina.cbpt.cnki.net/portal/journal/portal/client/paper/ad067999dad61f6d23665ad3baa11a91</x:v>
      </x:c>
    </x:row>
    <x:row r="7">
      <x:c r="A7" s="21" t="n">
        <x:v>6</x:v>
      </x:c>
      <x:c r="B7" s="25" t="str">
        <x:v>柳宝军、赵光耀</x:v>
      </x:c>
      <x:c r="C7" s="25" t="str">
        <x:v>习近平总书记关于党的建设的重要思想的原理性贡献</x:v>
      </x:c>
      <x:c r="D7" s="25" t="str">
        <x:v>中共济南市委党校学报</x:v>
      </x:c>
      <x:c r="E7" s="26" t="str">
        <x:v>2026</x:v>
      </x:c>
      <x:c r="F7" s="26" t="str">
        <x:v>1</x:v>
      </x:c>
      <x:c r="G7" s="26" t="str">
        <x:v>12-17</x:v>
      </x:c>
      <x:c r="H7" s="26" t="str">
        <x:v>党校学报</x:v>
      </x:c>
      <x:c r="I7" s="25" t="str">
        <x:v>原理性贡献</x:v>
      </x:c>
      <x:c r="J7" s="25" t="str">
        <x:v>概括全面领导论、自我革命论、人民中心论等七个方面</x:v>
      </x:c>
      <x:c r="K7" s="25" t="str">
        <x:v>原理提炼</x:v>
      </x:c>
      <x:c r="L7" s="25" t="str">
        <x:v>范畴建构</x:v>
      </x:c>
      <x:c r="M7" s="25" t="str">
        <x:v>可借鉴七论框架，但需检验内在主线</x:v>
      </x:c>
      <x:c r="N7" s="25" t="str">
        <x:v>直接竞争</x:v>
      </x:c>
      <x:c r="O7" s="26" t="str">
        <x:v>摘要级学习</x:v>
      </x:c>
      <x:c r="P7" s="25" t="str">
        <x:v>https://jina.cbpt.cnki.net/portal/journal/portal/client/paper/7e09a48da43d4345a6fbe4b58d5076db</x:v>
      </x:c>
    </x:row>
    <x:row r="8">
      <x:c r="A8" s="21" t="n">
        <x:v>7</x:v>
      </x:c>
      <x:c r="B8" s="25" t="str">
        <x:v>戴立兴、李佳铭</x:v>
      </x:c>
      <x:c r="C8" s="25" t="str">
        <x:v>习近平党建思想的形成基础、内涵要义与理论特质</x:v>
      </x:c>
      <x:c r="D8" s="25" t="str">
        <x:v>观察与思考</x:v>
      </x:c>
      <x:c r="E8" s="26" t="str">
        <x:v>2026</x:v>
      </x:c>
      <x:c r="F8" s="26" t="str">
        <x:v>7</x:v>
      </x:c>
      <x:c r="G8" s="26" t="str"/>
      <x:c r="H8" s="26" t="str">
        <x:v>AMI核心</x:v>
      </x:c>
      <x:c r="I8" s="25" t="str">
        <x:v>总体阐释</x:v>
      </x:c>
      <x:c r="J8" s="25" t="str">
        <x:v>从理论魂脉、现实土壤、文化根脉、实践根基展开</x:v>
      </x:c>
      <x:c r="K8" s="25" t="str">
        <x:v>四重基础</x:v>
      </x:c>
      <x:c r="L8" s="25" t="str">
        <x:v>体系阐释</x:v>
      </x:c>
      <x:c r="M8" s="25" t="str">
        <x:v>适合理论基础章节，注意四分法常见</x:v>
      </x:c>
      <x:c r="N8" s="25" t="str">
        <x:v>直接竞争</x:v>
      </x:c>
      <x:c r="O8" s="26" t="str">
        <x:v>摘要级学习</x:v>
      </x:c>
      <x:c r="P8" s="25" t="str">
        <x:v>https://gcys.cbpt.cnki.net/portal/journal/portal/journal/api/listPrePaperBackOrNextPaperBack/next?issue=06&amp;issueId=7c4f66e1-6d75-46a7-99eb-0355eda78bf4&amp;pageNum=1&amp;year=2026&amp;yearId=9a68f284-6129-4027-8ee0-3d5b3eeed8fc</x:v>
      </x:c>
    </x:row>
    <x:row r="9">
      <x:c r="A9" s="21" t="n">
        <x:v>8</x:v>
      </x:c>
      <x:c r="B9" s="25" t="str">
        <x:v>黄宇</x:v>
      </x:c>
      <x:c r="C9" s="25" t="str">
        <x:v>习近平党建思想的生成逻辑、科学内涵与原创性贡献</x:v>
      </x:c>
      <x:c r="D9" s="25" t="str">
        <x:v>观察与思考</x:v>
      </x:c>
      <x:c r="E9" s="26" t="str">
        <x:v>2026</x:v>
      </x:c>
      <x:c r="F9" s="26" t="str">
        <x:v>7</x:v>
      </x:c>
      <x:c r="G9" s="26" t="str">
        <x:v>18-35</x:v>
      </x:c>
      <x:c r="H9" s="26" t="str">
        <x:v>AMI核心</x:v>
      </x:c>
      <x:c r="I9" s="25" t="str">
        <x:v>总体阐释</x:v>
      </x:c>
      <x:c r="J9" s="25" t="str">
        <x:v>以时代课题统摄科学体系和原创贡献</x:v>
      </x:c>
      <x:c r="K9" s="25" t="str">
        <x:v>生成—内涵—贡献</x:v>
      </x:c>
      <x:c r="L9" s="25" t="str">
        <x:v>体系阐释</x:v>
      </x:c>
      <x:c r="M9" s="25" t="str">
        <x:v>篇幅较长，适合作为直接竞争论文精读</x:v>
      </x:c>
      <x:c r="N9" s="25" t="str">
        <x:v>直接竞争</x:v>
      </x:c>
      <x:c r="O9" s="26" t="str">
        <x:v>摘要级学习</x:v>
      </x:c>
      <x:c r="P9" s="25" t="str">
        <x:v>https://gcys.cbpt.cnki.net/portal/journal/portal/client/paper/cb3294d85d5f10ac4ae56f4ae2500c3f</x:v>
      </x:c>
    </x:row>
    <x:row r="10">
      <x:c r="A10" s="21" t="n">
        <x:v>9</x:v>
      </x:c>
      <x:c r="B10" s="25" t="str">
        <x:v>李包庚</x:v>
      </x:c>
      <x:c r="C10" s="25" t="str">
        <x:v>习近平党建思想的人民性与原创性贡献</x:v>
      </x:c>
      <x:c r="D10" s="25" t="str">
        <x:v>浙江社会科学</x:v>
      </x:c>
      <x:c r="E10" s="26" t="str">
        <x:v>2026</x:v>
      </x:c>
      <x:c r="F10" s="26" t="str">
        <x:v>7</x:v>
      </x:c>
      <x:c r="G10" s="26" t="str">
        <x:v>4-12+155</x:v>
      </x:c>
      <x:c r="H10" s="26" t="str">
        <x:v>CSSCI/中文核心</x:v>
      </x:c>
      <x:c r="I10" s="25" t="str">
        <x:v>人民性</x:v>
      </x:c>
      <x:c r="J10" s="25" t="str">
        <x:v>从人民主体、党性人民性、双重监督等解释人民性</x:v>
      </x:c>
      <x:c r="K10" s="25" t="str">
        <x:v>价值关系</x:v>
      </x:c>
      <x:c r="L10" s="25" t="str">
        <x:v>理论阐释</x:v>
      </x:c>
      <x:c r="M10" s="25" t="str">
        <x:v>人民性不是附加价值，而是体系底色</x:v>
      </x:c>
      <x:c r="N10" s="25" t="str">
        <x:v>重点支撑</x:v>
      </x:c>
      <x:c r="O10" s="26" t="str">
        <x:v>摘要级学习</x:v>
      </x:c>
      <x:c r="P10" s="25" t="str">
        <x:v>https://zjsh.cbpt.cnki.net/portal/journal/portal/client/paper/b02e52c85070e4b3a13e167a219c1e4a</x:v>
      </x:c>
    </x:row>
    <x:row r="11">
      <x:c r="A11" s="21" t="n">
        <x:v>10</x:v>
      </x:c>
      <x:c r="B11" s="25" t="str">
        <x:v>郭冰清、沈正赋</x:v>
      </x:c>
      <x:c r="C11" s="25" t="str">
        <x:v>守正创新：习近平党建思想世界观和方法论的原创性贡献</x:v>
      </x:c>
      <x:c r="D11" s="25" t="str">
        <x:v>观察与思考</x:v>
      </x:c>
      <x:c r="E11" s="26" t="str">
        <x:v>2026</x:v>
      </x:c>
      <x:c r="F11" s="26" t="str">
        <x:v>8</x:v>
      </x:c>
      <x:c r="G11" s="26" t="str">
        <x:v>34-43</x:v>
      </x:c>
      <x:c r="H11" s="26" t="str">
        <x:v>AMI核心</x:v>
      </x:c>
      <x:c r="I11" s="25" t="str">
        <x:v>方法论</x:v>
      </x:c>
      <x:c r="J11" s="25" t="str">
        <x:v>从问题、理论、方法论三维提炼六个坚持</x:v>
      </x:c>
      <x:c r="K11" s="25" t="str">
        <x:v>世界观方法论</x:v>
      </x:c>
      <x:c r="L11" s="25" t="str">
        <x:v>学理阐释</x:v>
      </x:c>
      <x:c r="M11" s="25" t="str">
        <x:v>适合方法论章节和体用关系讨论</x:v>
      </x:c>
      <x:c r="N11" s="25" t="str">
        <x:v>重点支撑</x:v>
      </x:c>
      <x:c r="O11" s="26" t="str">
        <x:v>摘要级学习</x:v>
      </x:c>
      <x:c r="P11" s="25" t="str">
        <x:v>https://gcys.cbpt.cnki.net/portal/journal/portal/client/paper/cf3d008abef81592c0993cc2cf23685a</x:v>
      </x:c>
    </x:row>
    <x:row r="12">
      <x:c r="A12" s="21" t="n">
        <x:v>11</x:v>
      </x:c>
      <x:c r="B12" s="25" t="str">
        <x:v>肖贵清</x:v>
      </x:c>
      <x:c r="C12" s="25" t="str">
        <x:v>习近平党建思想对党的执政规律认识的深化</x:v>
      </x:c>
      <x:c r="D12" s="25" t="str">
        <x:v>思想理论教育导刊</x:v>
      </x:c>
      <x:c r="E12" s="26" t="str">
        <x:v>2026</x:v>
      </x:c>
      <x:c r="F12" s="26" t="str">
        <x:v>7</x:v>
      </x:c>
      <x:c r="G12" s="26" t="str">
        <x:v>4-13</x:v>
      </x:c>
      <x:c r="H12" s="26" t="str">
        <x:v>CSSCI来源期刊</x:v>
      </x:c>
      <x:c r="I12" s="25" t="str">
        <x:v>执政规律</x:v>
      </x:c>
      <x:c r="J12" s="25" t="str">
        <x:v>从领导规律、管党治党规律、执政理念展开</x:v>
      </x:c>
      <x:c r="K12" s="25" t="str">
        <x:v>规律研究</x:v>
      </x:c>
      <x:c r="L12" s="25" t="str">
        <x:v>理论阐释</x:v>
      </x:c>
      <x:c r="M12" s="25" t="str">
        <x:v>适合从规律认识新高度论证原创贡献</x:v>
      </x:c>
      <x:c r="N12" s="25" t="str">
        <x:v>重点支撑</x:v>
      </x:c>
      <x:c r="O12" s="26" t="str">
        <x:v>摘要级学习</x:v>
      </x:c>
      <x:c r="P12" s="25" t="str">
        <x:v>https://gxsj.cbpt.cnki.net/portal/journal/portal/client/paper/afacc1d853055240593032881e18f4ff</x:v>
      </x:c>
    </x:row>
    <x:row r="13">
      <x:c r="A13" s="21" t="n">
        <x:v>12</x:v>
      </x:c>
      <x:c r="B13" s="25" t="str">
        <x:v>商继政、李垚</x:v>
      </x:c>
      <x:c r="C13" s="25" t="str">
        <x:v>习近平党建思想标识性概念的提炼机理、图谱建构与功能呈现</x:v>
      </x:c>
      <x:c r="D13" s="25" t="str">
        <x:v>学习与实践</x:v>
      </x:c>
      <x:c r="E13" s="26" t="str">
        <x:v>2026</x:v>
      </x:c>
      <x:c r="F13" s="26" t="str">
        <x:v>8</x:v>
      </x:c>
      <x:c r="G13" s="26" t="str">
        <x:v>13-23</x:v>
      </x:c>
      <x:c r="H13" s="26" t="str">
        <x:v>CSSCI/中文核心</x:v>
      </x:c>
      <x:c r="I13" s="25" t="str">
        <x:v>标识性概念</x:v>
      </x:c>
      <x:c r="J13" s="25" t="str">
        <x:v>把术语革命作为体系化学理化入口</x:v>
      </x:c>
      <x:c r="K13" s="25" t="str">
        <x:v>概念图谱</x:v>
      </x:c>
      <x:c r="L13" s="25" t="str">
        <x:v>概念史/图谱</x:v>
      </x:c>
      <x:c r="M13" s="25" t="str">
        <x:v>适合借鉴标识性概念提炼方法</x:v>
      </x:c>
      <x:c r="N13" s="25" t="str">
        <x:v>重点竞争</x:v>
      </x:c>
      <x:c r="O13" s="26" t="str">
        <x:v>摘要级学习</x:v>
      </x:c>
      <x:c r="P13" s="25" t="str">
        <x:v>https://xxys.cbpt.cnki.net/portal/journal/portal/client/paper/b6d4ce046b1584b81f9905ae5f4fcf2a</x:v>
      </x:c>
    </x:row>
    <x:row r="14">
      <x:c r="A14" s="21" t="n">
        <x:v>13</x:v>
      </x:c>
      <x:c r="B14" s="25" t="str">
        <x:v>刘飞</x:v>
      </x:c>
      <x:c r="C14" s="25" t="str">
        <x:v>习近平党建思想的原创性贡献</x:v>
      </x:c>
      <x:c r="D14" s="25" t="str">
        <x:v>理论导刊</x:v>
      </x:c>
      <x:c r="E14" s="26" t="str">
        <x:v>2026</x:v>
      </x:c>
      <x:c r="F14" s="26" t="str">
        <x:v>8</x:v>
      </x:c>
      <x:c r="G14" s="26" t="str"/>
      <x:c r="H14" s="26" t="str">
        <x:v>CSSCI扩展/核心</x:v>
      </x:c>
      <x:c r="I14" s="25" t="str">
        <x:v>原创贡献</x:v>
      </x:c>
      <x:c r="J14" s="25" t="str">
        <x:v>从时代课题、理论渊源、体用贯通和实践成就展开</x:v>
      </x:c>
      <x:c r="K14" s="25" t="str">
        <x:v>原创贡献</x:v>
      </x:c>
      <x:c r="L14" s="25" t="str">
        <x:v>体系阐释</x:v>
      </x:c>
      <x:c r="M14" s="25" t="str">
        <x:v>直接涉及明体达用、体用贯通</x:v>
      </x:c>
      <x:c r="N14" s="25" t="str">
        <x:v>直接竞争</x:v>
      </x:c>
      <x:c r="O14" s="26" t="str">
        <x:v>摘要级学习</x:v>
      </x:c>
      <x:c r="P14" s="25" t="str">
        <x:v>https://lldk.cbpt.cnki.net/portal/journal/portal/journal/api/listPrePaperBackOrNextPaperBack/next?issue=07&amp;issueId=20d024a4-a3aa-47a3-814a-f1b24c5c6848&amp;pageNum=1&amp;year=2026&amp;yearId=880ae949-2e14-4c2c-aace-510cd4e693f8</x:v>
      </x:c>
    </x:row>
    <x:row r="15">
      <x:c r="A15" s="21" t="n">
        <x:v>14</x:v>
      </x:c>
      <x:c r="B15" s="25" t="str">
        <x:v>周晗、汪煜婕、王倩</x:v>
      </x:c>
      <x:c r="C15" s="25" t="str">
        <x:v>论习近平党建思想的理论品格</x:v>
      </x:c>
      <x:c r="D15" s="25" t="str">
        <x:v>理论导刊</x:v>
      </x:c>
      <x:c r="E15" s="26" t="str">
        <x:v>2026</x:v>
      </x:c>
      <x:c r="F15" s="26" t="str">
        <x:v>8</x:v>
      </x:c>
      <x:c r="G15" s="26" t="str">
        <x:v>11-22</x:v>
      </x:c>
      <x:c r="H15" s="26" t="str">
        <x:v>CSSCI扩展/核心</x:v>
      </x:c>
      <x:c r="I15" s="25" t="str">
        <x:v>理论品格</x:v>
      </x:c>
      <x:c r="J15" s="25" t="str">
        <x:v>提炼理想信念、历史主动、问题导向等六种品格</x:v>
      </x:c>
      <x:c r="K15" s="25" t="str">
        <x:v>品格提炼</x:v>
      </x:c>
      <x:c r="L15" s="25" t="str">
        <x:v>范畴阐释</x:v>
      </x:c>
      <x:c r="M15" s="25" t="str">
        <x:v>可用于理论特质比较，防止价值词堆叠</x:v>
      </x:c>
      <x:c r="N15" s="25" t="str">
        <x:v>辅助支撑</x:v>
      </x:c>
      <x:c r="O15" s="26" t="str">
        <x:v>摘要级学习</x:v>
      </x:c>
      <x:c r="P15" s="25" t="str">
        <x:v>https://lldk.cbpt.cnki.net/portal/journal/portal/client/paper/b347cc48c4c768a71e17d9df3eeb4236</x:v>
      </x:c>
    </x:row>
    <x:row r="16">
      <x:c r="A16" s="21" t="n">
        <x:v>15</x:v>
      </x:c>
      <x:c r="B16" s="25" t="str">
        <x:v>张雷声、杨洋</x:v>
      </x:c>
      <x:c r="C16" s="25" t="str">
        <x:v>习近平党建思想对马克思主义建党学说的原创性发展</x:v>
      </x:c>
      <x:c r="D16" s="25" t="str">
        <x:v>南通大学学报（社会科学版）</x:v>
      </x:c>
      <x:c r="E16" s="26" t="str">
        <x:v>2026</x:v>
      </x:c>
      <x:c r="F16" s="26" t="str">
        <x:v>网络首发</x:v>
      </x:c>
      <x:c r="G16" s="26" t="str"/>
      <x:c r="H16" s="26" t="str">
        <x:v>CSSCI候选/待目录核验</x:v>
      </x:c>
      <x:c r="I16" s="25" t="str">
        <x:v>理论发展</x:v>
      </x:c>
      <x:c r="J16" s="25" t="str">
        <x:v>从党的领导、政治建设、全面从严治党解释原创发展</x:v>
      </x:c>
      <x:c r="K16" s="25" t="str">
        <x:v>理论史比较</x:v>
      </x:c>
      <x:c r="L16" s="25" t="str">
        <x:v>经典文本对照</x:v>
      </x:c>
      <x:c r="M16" s="25" t="str">
        <x:v>适合作为马克思主义建党学说发展史参照</x:v>
      </x:c>
      <x:c r="N16" s="25" t="str">
        <x:v>重点竞争</x:v>
      </x:c>
      <x:c r="O16" s="26" t="str">
        <x:v>摘要级学习</x:v>
      </x:c>
      <x:c r="P16" s="25" t="str">
        <x:v>https://ntsx.cbpt.cnki.net/portal/journal/portal/client/paper/080e5d0c0a4cfcee909350a80d1b04dd</x:v>
      </x:c>
    </x:row>
    <x:row r="17">
      <x:c r="A17" s="21" t="n">
        <x:v>16</x:v>
      </x:c>
      <x:c r="B17" s="25" t="str">
        <x:v>陈红娟</x:v>
      </x:c>
      <x:c r="C17" s="25" t="str">
        <x:v>治国、用人与修身：习近平党建思想对中华优秀传统文化传承、转化与创新</x:v>
      </x:c>
      <x:c r="D17" s="25" t="str">
        <x:v>宁夏社会科学</x:v>
      </x:c>
      <x:c r="E17" s="26" t="str">
        <x:v>2026</x:v>
      </x:c>
      <x:c r="F17" s="26" t="str">
        <x:v>4</x:v>
      </x:c>
      <x:c r="G17" s="26" t="str">
        <x:v>31-39</x:v>
      </x:c>
      <x:c r="H17" s="26" t="str">
        <x:v>CSSCI/中文核心</x:v>
      </x:c>
      <x:c r="I17" s="25" t="str">
        <x:v>第二个结合</x:v>
      </x:c>
      <x:c r="J17" s="25" t="str">
        <x:v>从治国、用人、修身解释传统文化转化</x:v>
      </x:c>
      <x:c r="K17" s="25" t="str">
        <x:v>文化谱系</x:v>
      </x:c>
      <x:c r="L17" s="25" t="str">
        <x:v>比较阐释</x:v>
      </x:c>
      <x:c r="M17" s="25" t="str">
        <x:v>体用论写作的重要直接参照</x:v>
      </x:c>
      <x:c r="N17" s="25" t="str">
        <x:v>高度相关</x:v>
      </x:c>
      <x:c r="O17" s="26" t="str">
        <x:v>摘要级学习</x:v>
      </x:c>
      <x:c r="P17" s="25" t="str">
        <x:v>https://lxsk.cbpt.cnki.net/portal/journal/portal/client/paper/70036435a2e7d46dde62aae817c40d82</x:v>
      </x:c>
    </x:row>
    <x:row r="18">
      <x:c r="A18" s="21" t="n">
        <x:v>17</x:v>
      </x:c>
      <x:c r="B18" s="25" t="str">
        <x:v>张浩、孙其英</x:v>
      </x:c>
      <x:c r="C18" s="25" t="str">
        <x:v>习近平党建思想对破解“大党独有难题”的原创性贡献</x:v>
      </x:c>
      <x:c r="D18" s="25" t="str">
        <x:v>浙江工商大学学报</x:v>
      </x:c>
      <x:c r="E18" s="26" t="str">
        <x:v>2026</x:v>
      </x:c>
      <x:c r="F18" s="26" t="str">
        <x:v>网络首发</x:v>
      </x:c>
      <x:c r="G18" s="26" t="str"/>
      <x:c r="H18" s="26" t="str">
        <x:v>CSSCI来源期刊</x:v>
      </x:c>
      <x:c r="I18" s="25" t="str">
        <x:v>大党独有难题</x:v>
      </x:c>
      <x:c r="J18" s="25" t="str">
        <x:v>从风险认知、全面领导、全面从严治党体系、系统施治展开</x:v>
      </x:c>
      <x:c r="K18" s="25" t="str">
        <x:v>问题导向</x:v>
      </x:c>
      <x:c r="L18" s="25" t="str">
        <x:v>关系分析</x:v>
      </x:c>
      <x:c r="M18" s="25" t="str">
        <x:v>把核心问题落在长期执政条件下的大党治理矛盾</x:v>
      </x:c>
      <x:c r="N18" s="25" t="str">
        <x:v>重点支撑</x:v>
      </x:c>
      <x:c r="O18" s="26" t="str">
        <x:v>摘要级学习</x:v>
      </x:c>
      <x:c r="P18" s="25" t="str">
        <x:v>https://zjzf.cbpt.cnki.net/portal/journal/portal/client/paper/b24275171c4bd01ac29a877c5c2cba9e</x:v>
      </x:c>
    </x:row>
    <x:row r="19">
      <x:c r="A19" s="21" t="n">
        <x:v>18</x:v>
      </x:c>
      <x:c r="B19" s="25" t="str">
        <x:v>王富军、李亚伦</x:v>
      </x:c>
      <x:c r="C19" s="25" t="str">
        <x:v>习近平党建思想的理论内涵及原创性贡献</x:v>
      </x:c>
      <x:c r="D19" s="25" t="str">
        <x:v>山东科技大学学报（社会科学版）</x:v>
      </x:c>
      <x:c r="E19" s="26" t="str">
        <x:v>2026</x:v>
      </x:c>
      <x:c r="F19" s="26" t="str">
        <x:v>网络首发</x:v>
      </x:c>
      <x:c r="G19" s="26" t="str"/>
      <x:c r="H19" s="26" t="str">
        <x:v>学报/待CSSCI核验</x:v>
      </x:c>
      <x:c r="I19" s="25" t="str">
        <x:v>理论体系</x:v>
      </x:c>
      <x:c r="J19" s="25" t="str">
        <x:v>以十四个坚持解释内涵及相互联系</x:v>
      </x:c>
      <x:c r="K19" s="25" t="str">
        <x:v>体系结构</x:v>
      </x:c>
      <x:c r="L19" s="25" t="str">
        <x:v>内在关系</x:v>
      </x:c>
      <x:c r="M19" s="25" t="str">
        <x:v>适合核对十四个坚持的结构关联</x:v>
      </x:c>
      <x:c r="N19" s="25" t="str">
        <x:v>直接竞争</x:v>
      </x:c>
      <x:c r="O19" s="26" t="str">
        <x:v>摘要级学习</x:v>
      </x:c>
      <x:c r="P19" s="25" t="str">
        <x:v>https://skyb.cbpt.cnki.net/portal/journal/portal/client/paper/6a7a5cd34a0b075ca799c5b9566f589c</x:v>
      </x:c>
    </x:row>
    <x:row r="20">
      <x:c r="A20" s="21" t="n">
        <x:v>19</x:v>
      </x:c>
      <x:c r="B20" s="25" t="str">
        <x:v>岳凤兰、张钰璇</x:v>
      </x:c>
      <x:c r="C20" s="25" t="str">
        <x:v>习近平党建思想的理论渊源、体系结构与时代价值</x:v>
      </x:c>
      <x:c r="D20" s="25" t="str">
        <x:v>中北大学学报（社会科学版）</x:v>
      </x:c>
      <x:c r="E20" s="26" t="str">
        <x:v>2026</x:v>
      </x:c>
      <x:c r="F20" s="26" t="str">
        <x:v>网络首发</x:v>
      </x:c>
      <x:c r="G20" s="26" t="str"/>
      <x:c r="H20" s="26" t="str">
        <x:v>学报/待CSSCI核验</x:v>
      </x:c>
      <x:c r="I20" s="25" t="str">
        <x:v>理论渊源</x:v>
      </x:c>
      <x:c r="J20" s="25" t="str">
        <x:v>马克思主义、党史、传统文化、全面从严治党实践四源汇合</x:v>
      </x:c>
      <x:c r="K20" s="25" t="str">
        <x:v>理论谱系</x:v>
      </x:c>
      <x:c r="L20" s="25" t="str">
        <x:v>体系阐释</x:v>
      </x:c>
      <x:c r="M20" s="25" t="str">
        <x:v>可作理论渊源对照</x:v>
      </x:c>
      <x:c r="N20" s="25" t="str">
        <x:v>辅助支撑</x:v>
      </x:c>
      <x:c r="O20" s="26" t="str">
        <x:v>摘要级学习</x:v>
      </x:c>
      <x:c r="P20" s="25" t="str">
        <x:v>https://hgxs.cbpt.cnki.net/portal/journal/portal/client/paper/6a7a5cd34a0b075ca799c5b9566f589c</x:v>
      </x:c>
    </x:row>
    <x:row r="21">
      <x:c r="A21" s="21" t="n">
        <x:v>20</x:v>
      </x:c>
      <x:c r="B21" s="25" t="str">
        <x:v>蔡文成、刘富东</x:v>
      </x:c>
      <x:c r="C21" s="25" t="str">
        <x:v>习近平党建思想融入高校思政课教学的逻辑与进路</x:v>
      </x:c>
      <x:c r="D21" s="25" t="str">
        <x:v>中国大学教学</x:v>
      </x:c>
      <x:c r="E21" s="26" t="str">
        <x:v>2026</x:v>
      </x:c>
      <x:c r="F21" s="26" t="str">
        <x:v>7</x:v>
      </x:c>
      <x:c r="G21" s="26" t="str">
        <x:v>4-10</x:v>
      </x:c>
      <x:c r="H21" s="26" t="str">
        <x:v>中文核心</x:v>
      </x:c>
      <x:c r="I21" s="25" t="str">
        <x:v>教学转化</x:v>
      </x:c>
      <x:c r="J21" s="25" t="str">
        <x:v>阐释思想政治教育资源及融入路径</x:v>
      </x:c>
      <x:c r="K21" s="25" t="str">
        <x:v>教学转化</x:v>
      </x:c>
      <x:c r="L21" s="25" t="str">
        <x:v>应用研究</x:v>
      </x:c>
      <x:c r="M21" s="25" t="str">
        <x:v>适合研究理论传播和教育功能</x:v>
      </x:c>
      <x:c r="N21" s="25" t="str">
        <x:v>应用支撑</x:v>
      </x:c>
      <x:c r="O21" s="26" t="str">
        <x:v>摘要级学习</x:v>
      </x:c>
      <x:c r="P21" s="25" t="str">
        <x:v>https://jxcy.cbpt.cnki.net/portal/journal/portal/client/paper/72b474a378c90a3189fb98807c32e1b0</x:v>
      </x:c>
    </x:row>
    <x:row r="22">
      <x:c r="A22" s="21" t="n">
        <x:v>21</x:v>
      </x:c>
      <x:c r="B22" s="25" t="str">
        <x:v>段妍</x:v>
      </x:c>
      <x:c r="C22" s="25" t="str">
        <x:v>习近平总书记关于党的建设的重要思想的内在逻辑</x:v>
      </x:c>
      <x:c r="D22" s="25" t="str">
        <x:v>理论视野</x:v>
      </x:c>
      <x:c r="E22" s="26" t="str">
        <x:v>2023</x:v>
      </x:c>
      <x:c r="F22" s="26" t="str">
        <x:v>11</x:v>
      </x:c>
      <x:c r="G22" s="26" t="str"/>
      <x:c r="H22" s="26" t="str">
        <x:v>CSSCI扩展/核心</x:v>
      </x:c>
      <x:c r="I22" s="25" t="str">
        <x:v>内在逻辑</x:v>
      </x:c>
      <x:c r="J22" s="25" t="str">
        <x:v>寻找十三个坚持的贯通关系</x:v>
      </x:c>
      <x:c r="K22" s="25" t="str">
        <x:v>逻辑结构</x:v>
      </x:c>
      <x:c r="L22" s="25" t="str">
        <x:v>体系阐释</x:v>
      </x:c>
      <x:c r="M22" s="25" t="str">
        <x:v>避免逐条政策解释的重要参照</x:v>
      </x:c>
      <x:c r="N22" s="25" t="str">
        <x:v>直接竞争</x:v>
      </x:c>
      <x:c r="O22" s="26" t="str">
        <x:v>题录核验</x:v>
      </x:c>
      <x:c r="P22" s="25" t="str">
        <x:v>https://gcys.cbpt.cnki.net/portal/journal/portal/client/paper/26324328521d222080dc8a2a1e3c8e89</x:v>
      </x:c>
    </x:row>
    <x:row r="23">
      <x:c r="A23" s="21" t="n">
        <x:v>22</x:v>
      </x:c>
      <x:c r="B23" s="25" t="str">
        <x:v>钟宪章、陈曦</x:v>
      </x:c>
      <x:c r="C23" s="25" t="str">
        <x:v>习近平总书记关于党的建设的重要思想的时代背景、创新要素及理论体系</x:v>
      </x:c>
      <x:c r="D23" s="25" t="str">
        <x:v>中共福建省委党校（福建行政学院）学报</x:v>
      </x:c>
      <x:c r="E23" s="26" t="str">
        <x:v>2023</x:v>
      </x:c>
      <x:c r="F23" s="26" t="str">
        <x:v>5</x:v>
      </x:c>
      <x:c r="G23" s="26" t="str"/>
      <x:c r="H23" s="26" t="str">
        <x:v>CSSCI来源期刊</x:v>
      </x:c>
      <x:c r="I23" s="25" t="str">
        <x:v>理论体系</x:v>
      </x:c>
      <x:c r="J23" s="25" t="str">
        <x:v>从背景、创新要素、体系展开</x:v>
      </x:c>
      <x:c r="K23" s="25" t="str">
        <x:v>要素分析</x:v>
      </x:c>
      <x:c r="L23" s="25" t="str">
        <x:v>体系阐释</x:v>
      </x:c>
      <x:c r="M23" s="25" t="str">
        <x:v>可用于识别创新要素及体系边界</x:v>
      </x:c>
      <x:c r="N23" s="25" t="str">
        <x:v>直接竞争</x:v>
      </x:c>
      <x:c r="O23" s="26" t="str">
        <x:v>题录核验</x:v>
      </x:c>
      <x:c r="P23" s="25" t="str">
        <x:v>https://gcys.cbpt.cnki.net/portal/journal/portal/client/paper/26324328521d222080dc8a2a1e3c8e89</x:v>
      </x:c>
    </x:row>
    <x:row r="24">
      <x:c r="A24" s="21" t="n">
        <x:v>23</x:v>
      </x:c>
      <x:c r="B24" s="25" t="str">
        <x:v>钟宪章、张亚茹</x:v>
      </x:c>
      <x:c r="C24" s="25" t="str">
        <x:v>论习近平总书记关于党的建设的重要思想的理论体系</x:v>
      </x:c>
      <x:c r="D24" s="25" t="str">
        <x:v>理论视野</x:v>
      </x:c>
      <x:c r="E24" s="26" t="str">
        <x:v>2023</x:v>
      </x:c>
      <x:c r="F24" s="26" t="str">
        <x:v>11</x:v>
      </x:c>
      <x:c r="G24" s="26" t="str"/>
      <x:c r="H24" s="26" t="str">
        <x:v>CSSCI扩展/核心</x:v>
      </x:c>
      <x:c r="I24" s="25" t="str">
        <x:v>体系建构</x:v>
      </x:c>
      <x:c r="J24" s="25" t="str">
        <x:v>把十三个坚持组织为理论体系</x:v>
      </x:c>
      <x:c r="K24" s="25" t="str">
        <x:v>结构分析</x:v>
      </x:c>
      <x:c r="L24" s="25" t="str">
        <x:v>体系阐释</x:v>
      </x:c>
      <x:c r="M24" s="25" t="str">
        <x:v>适合与十四个坚持的新结构作比较</x:v>
      </x:c>
      <x:c r="N24" s="25" t="str">
        <x:v>直接竞争</x:v>
      </x:c>
      <x:c r="O24" s="26" t="str">
        <x:v>题录核验</x:v>
      </x:c>
      <x:c r="P24" s="25" t="str">
        <x:v>https://gcys.cbpt.cnki.net/portal/journal/portal/client/paper/26324328521d222080dc8a2a1e3c8e89</x:v>
      </x:c>
    </x:row>
    <x:row r="25">
      <x:c r="A25" s="21" t="n">
        <x:v>24</x:v>
      </x:c>
      <x:c r="B25" s="25" t="str">
        <x:v>刘炳香</x:v>
      </x:c>
      <x:c r="C25" s="25" t="str">
        <x:v>深刻把握习近平总书记关于党的建设的重要思想的内在逻辑</x:v>
      </x:c>
      <x:c r="D25" s="25" t="str">
        <x:v>党政研究</x:v>
      </x:c>
      <x:c r="E25" s="26" t="str">
        <x:v>2023</x:v>
      </x:c>
      <x:c r="F25" s="26" t="str">
        <x:v>6</x:v>
      </x:c>
      <x:c r="G25" s="26" t="str"/>
      <x:c r="H25" s="26" t="str">
        <x:v>CSSCI来源期刊</x:v>
      </x:c>
      <x:c r="I25" s="25" t="str">
        <x:v>内在逻辑</x:v>
      </x:c>
      <x:c r="J25" s="25" t="str">
        <x:v>强调思想体系各命题的贯通</x:v>
      </x:c>
      <x:c r="K25" s="25" t="str">
        <x:v>逻辑分析</x:v>
      </x:c>
      <x:c r="L25" s="25" t="str">
        <x:v>体系阐释</x:v>
      </x:c>
      <x:c r="M25" s="25" t="str">
        <x:v>可用于整体性写法</x:v>
      </x:c>
      <x:c r="N25" s="25" t="str">
        <x:v>重点支撑</x:v>
      </x:c>
      <x:c r="O25" s="26" t="str">
        <x:v>题录核验</x:v>
      </x:c>
      <x:c r="P25" s="25" t="str">
        <x:v>https://gcys.cbpt.cnki.net/portal/journal/portal/client/paper/26324328521d222080dc8a2a1e3c8e89</x:v>
      </x:c>
    </x:row>
    <x:row r="26">
      <x:c r="A26" s="21" t="n">
        <x:v>25</x:v>
      </x:c>
      <x:c r="B26" s="25" t="str">
        <x:v>李捷</x:v>
      </x:c>
      <x:c r="C26" s="25" t="str">
        <x:v>新时代自我革命的思想指导和行动指南——学习习近平总书记关于党的建设的重要思想</x:v>
      </x:c>
      <x:c r="D26" s="25" t="str">
        <x:v>华南理工大学学报（社会科学版）</x:v>
      </x:c>
      <x:c r="E26" s="26" t="str">
        <x:v>2023</x:v>
      </x:c>
      <x:c r="F26" s="26" t="str">
        <x:v>5</x:v>
      </x:c>
      <x:c r="G26" s="26" t="str"/>
      <x:c r="H26" s="26" t="str">
        <x:v>CSSCI来源期刊</x:v>
      </x:c>
      <x:c r="I26" s="25" t="str">
        <x:v>自我革命</x:v>
      </x:c>
      <x:c r="J26" s="25" t="str">
        <x:v>以自我革命贯穿党的建设思想</x:v>
      </x:c>
      <x:c r="K26" s="25" t="str">
        <x:v>主线提炼</x:v>
      </x:c>
      <x:c r="L26" s="25" t="str">
        <x:v>理论实践统一</x:v>
      </x:c>
      <x:c r="M26" s="25" t="str">
        <x:v>适合检验自我革命能否担当总主线</x:v>
      </x:c>
      <x:c r="N26" s="25" t="str">
        <x:v>重点支撑</x:v>
      </x:c>
      <x:c r="O26" s="26" t="str">
        <x:v>题录核验</x:v>
      </x:c>
      <x:c r="P26" s="25" t="str">
        <x:v>https://gcys.cbpt.cnki.net/portal/journal/portal/client/paper/26324328521d222080dc8a2a1e3c8e89</x:v>
      </x:c>
    </x:row>
    <x:row r="27">
      <x:c r="A27" s="21" t="n">
        <x:v>26</x:v>
      </x:c>
      <x:c r="B27" s="25" t="str">
        <x:v>中央政策研究室党建研究局</x:v>
      </x:c>
      <x:c r="C27" s="25" t="str">
        <x:v>习近平总书记对马克思主义建党学说的原创性贡献</x:v>
      </x:c>
      <x:c r="D27" s="25" t="str">
        <x:v>党建研究</x:v>
      </x:c>
      <x:c r="E27" s="26" t="str">
        <x:v>2023</x:v>
      </x:c>
      <x:c r="F27" s="26" t="str">
        <x:v>6</x:v>
      </x:c>
      <x:c r="G27" s="26" t="str"/>
      <x:c r="H27" s="26" t="str">
        <x:v>权威党建期刊</x:v>
      </x:c>
      <x:c r="I27" s="25" t="str">
        <x:v>原创贡献</x:v>
      </x:c>
      <x:c r="J27" s="25" t="str">
        <x:v>从马克思主义建党学说发展考察原创论断</x:v>
      </x:c>
      <x:c r="K27" s="25" t="str">
        <x:v>理论史</x:v>
      </x:c>
      <x:c r="L27" s="25" t="str">
        <x:v>权威阐释</x:v>
      </x:c>
      <x:c r="M27" s="25" t="str">
        <x:v>权威性高，适合确定原创贡献基本口径</x:v>
      </x:c>
      <x:c r="N27" s="25" t="str">
        <x:v>权威依据</x:v>
      </x:c>
      <x:c r="O27" s="26" t="str">
        <x:v>题录核验</x:v>
      </x:c>
      <x:c r="P27" s="25" t="str">
        <x:v>https://gcys.cbpt.cnki.net/portal/journal/portal/client/paper/26324328521d222080dc8a2a1e3c8e89</x:v>
      </x:c>
    </x:row>
    <x:row r="28">
      <x:c r="A28" s="21" t="n">
        <x:v>27</x:v>
      </x:c>
      <x:c r="B28" s="25" t="str">
        <x:v>康晓强</x:v>
      </x:c>
      <x:c r="C28" s="25" t="str">
        <x:v>习近平总书记关于党的建设的重要思想的原创性贡献</x:v>
      </x:c>
      <x:c r="D28" s="25" t="str">
        <x:v>党建研究</x:v>
      </x:c>
      <x:c r="E28" s="26" t="str">
        <x:v>2023</x:v>
      </x:c>
      <x:c r="F28" s="26" t="str">
        <x:v>9</x:v>
      </x:c>
      <x:c r="G28" s="26" t="str"/>
      <x:c r="H28" s="26" t="str">
        <x:v>权威党建期刊</x:v>
      </x:c>
      <x:c r="I28" s="25" t="str">
        <x:v>原创贡献</x:v>
      </x:c>
      <x:c r="J28" s="25" t="str">
        <x:v>集中提炼新时代党建原创性命题</x:v>
      </x:c>
      <x:c r="K28" s="25" t="str">
        <x:v>命题提炼</x:v>
      </x:c>
      <x:c r="L28" s="25" t="str">
        <x:v>权威阐释</x:v>
      </x:c>
      <x:c r="M28" s="25" t="str">
        <x:v>可与学术论文的原创性判断相互校验</x:v>
      </x:c>
      <x:c r="N28" s="25" t="str">
        <x:v>权威依据</x:v>
      </x:c>
      <x:c r="O28" s="26" t="str">
        <x:v>题录核验</x:v>
      </x:c>
      <x:c r="P28" s="25" t="str">
        <x:v>https://gcys.cbpt.cnki.net/portal/journal/portal/client/paper/26324328521d222080dc8a2a1e3c8e89</x:v>
      </x:c>
    </x:row>
    <x:row r="29">
      <x:c r="A29" s="21" t="n">
        <x:v>28</x:v>
      </x:c>
      <x:c r="B29" s="25" t="str">
        <x:v>祝灵君</x:v>
      </x:c>
      <x:c r="C29" s="25" t="str">
        <x:v>习近平总书记关于党的建设的重要思想在习近平新时代中国特色社会主义思想中的地位作用</x:v>
      </x:c>
      <x:c r="D29" s="25" t="str">
        <x:v>党建研究</x:v>
      </x:c>
      <x:c r="E29" s="26" t="str">
        <x:v>2023</x:v>
      </x:c>
      <x:c r="F29" s="26" t="str">
        <x:v>8</x:v>
      </x:c>
      <x:c r="G29" s="26" t="str"/>
      <x:c r="H29" s="26" t="str">
        <x:v>权威党建期刊</x:v>
      </x:c>
      <x:c r="I29" s="25" t="str">
        <x:v>理论定位</x:v>
      </x:c>
      <x:c r="J29" s="25" t="str">
        <x:v>解释党建篇与总体思想体系的关系</x:v>
      </x:c>
      <x:c r="K29" s="25" t="str">
        <x:v>体系定位</x:v>
      </x:c>
      <x:c r="L29" s="25" t="str">
        <x:v>权威阐释</x:v>
      </x:c>
      <x:c r="M29" s="25" t="str">
        <x:v>适合开篇确定思想坐标</x:v>
      </x:c>
      <x:c r="N29" s="25" t="str">
        <x:v>权威依据</x:v>
      </x:c>
      <x:c r="O29" s="26" t="str">
        <x:v>题录核验</x:v>
      </x:c>
      <x:c r="P29" s="25" t="str">
        <x:v>https://gcys.cbpt.cnki.net/portal/journal/portal/client/paper/26324328521d222080dc8a2a1e3c8e89</x:v>
      </x:c>
    </x:row>
    <x:row r="30">
      <x:c r="A30" s="21" t="n">
        <x:v>29</x:v>
      </x:c>
      <x:c r="B30" s="25" t="str">
        <x:v>刘红凛</x:v>
      </x:c>
      <x:c r="C30" s="25" t="str">
        <x:v>深刻把握习近平总书记关于党的建设的重要思想原创性贡献</x:v>
      </x:c>
      <x:c r="D30" s="25" t="str">
        <x:v>党建</x:v>
      </x:c>
      <x:c r="E30" s="26" t="str">
        <x:v>2023</x:v>
      </x:c>
      <x:c r="F30" s="26" t="str">
        <x:v>8</x:v>
      </x:c>
      <x:c r="G30" s="26" t="str"/>
      <x:c r="H30" s="26" t="str">
        <x:v>权威党建期刊</x:v>
      </x:c>
      <x:c r="I30" s="25" t="str">
        <x:v>原创贡献</x:v>
      </x:c>
      <x:c r="J30" s="25" t="str">
        <x:v>提炼党的建设理论和实践创新</x:v>
      </x:c>
      <x:c r="K30" s="25" t="str">
        <x:v>理论概括</x:v>
      </x:c>
      <x:c r="L30" s="25" t="str">
        <x:v>权威阐释</x:v>
      </x:c>
      <x:c r="M30" s="25" t="str">
        <x:v>适合界定原创贡献，仍需原著核验</x:v>
      </x:c>
      <x:c r="N30" s="25" t="str">
        <x:v>权威依据</x:v>
      </x:c>
      <x:c r="O30" s="26" t="str">
        <x:v>题录核验</x:v>
      </x:c>
      <x:c r="P30" s="25" t="str">
        <x:v>https://gcys.cbpt.cnki.net/portal/journal/portal/client/paper/26324328521d222080dc8a2a1e3c8e89</x:v>
      </x:c>
    </x:row>
    <x:row r="31">
      <x:c r="A31" s="21" t="n">
        <x:v>30</x:v>
      </x:c>
      <x:c r="B31" s="25" t="str">
        <x:v>冯秋婷</x:v>
      </x:c>
      <x:c r="C31" s="25" t="str">
        <x:v>习近平总书记关于党的建设重要思想的领导学意义</x:v>
      </x:c>
      <x:c r="D31" s="25" t="str">
        <x:v>中国领导科学</x:v>
      </x:c>
      <x:c r="E31" s="26" t="str">
        <x:v>2023</x:v>
      </x:c>
      <x:c r="F31" s="26" t="str">
        <x:v>5</x:v>
      </x:c>
      <x:c r="G31" s="26" t="str"/>
      <x:c r="H31" s="26" t="str">
        <x:v>专业核心/待核</x:v>
      </x:c>
      <x:c r="I31" s="25" t="str">
        <x:v>领导学</x:v>
      </x:c>
      <x:c r="J31" s="25" t="str">
        <x:v>从领导主体、领导制度、领导能力解释党建思想</x:v>
      </x:c>
      <x:c r="K31" s="25" t="str">
        <x:v>跨学科</x:v>
      </x:c>
      <x:c r="L31" s="25" t="str">
        <x:v>领导学分析</x:v>
      </x:c>
      <x:c r="M31" s="25" t="str">
        <x:v>提供跨学科视角</x:v>
      </x:c>
      <x:c r="N31" s="25" t="str">
        <x:v>方法补充</x:v>
      </x:c>
      <x:c r="O31" s="26" t="str">
        <x:v>题录核验</x:v>
      </x:c>
      <x:c r="P31" s="25" t="str">
        <x:v>https://gcys.cbpt.cnki.net/portal/journal/portal/client/paper/26324328521d222080dc8a2a1e3c8e89</x:v>
      </x:c>
    </x:row>
    <x:row r="32">
      <x:c r="A32" s="21" t="n">
        <x:v>31</x:v>
      </x:c>
      <x:c r="B32" s="25" t="str">
        <x:v>辛向阳</x:v>
      </x:c>
      <x:c r="C32" s="25" t="str">
        <x:v>论全面从严治党与共产党人的政治本色</x:v>
      </x:c>
      <x:c r="D32" s="25" t="str">
        <x:v>湖湘论坛</x:v>
      </x:c>
      <x:c r="E32" s="26" t="str">
        <x:v>2024</x:v>
      </x:c>
      <x:c r="F32" s="26" t="str">
        <x:v>1</x:v>
      </x:c>
      <x:c r="G32" s="26" t="str"/>
      <x:c r="H32" s="26" t="str">
        <x:v>CSSCI来源期刊</x:v>
      </x:c>
      <x:c r="I32" s="25" t="str">
        <x:v>全面从严治党</x:v>
      </x:c>
      <x:c r="J32" s="25" t="str">
        <x:v>把管党治党与政治本色联系起来</x:v>
      </x:c>
      <x:c r="K32" s="25" t="str">
        <x:v>本质规定</x:v>
      </x:c>
      <x:c r="L32" s="25" t="str">
        <x:v>理论阐释</x:v>
      </x:c>
      <x:c r="M32" s="25" t="str">
        <x:v>适合论证严的基调和政党性质的关系</x:v>
      </x:c>
      <x:c r="N32" s="25" t="str">
        <x:v>专题支撑</x:v>
      </x:c>
      <x:c r="O32" s="26" t="str">
        <x:v>题录核验</x:v>
      </x:c>
      <x:c r="P32" s="25" t="str">
        <x:v>https://gcys.cbpt.cnki.net/portal/journal/portal/client/paper/26324328521d222080dc8a2a1e3c8e89</x:v>
      </x:c>
    </x:row>
    <x:row r="33">
      <x:c r="A33" s="21" t="n">
        <x:v>32</x:v>
      </x:c>
      <x:c r="B33" s="25" t="str">
        <x:v>孙占元</x:v>
      </x:c>
      <x:c r="C33" s="25" t="str">
        <x:v>健全全面从严治党体系的历史逻辑与现实路径</x:v>
      </x:c>
      <x:c r="D33" s="25" t="str">
        <x:v>山东大学学报（哲学社会科学版）</x:v>
      </x:c>
      <x:c r="E33" s="26" t="str">
        <x:v>2024</x:v>
      </x:c>
      <x:c r="F33" s="26" t="str">
        <x:v>1</x:v>
      </x:c>
      <x:c r="G33" s="26" t="str"/>
      <x:c r="H33" s="26" t="str">
        <x:v>CSSCI来源期刊</x:v>
      </x:c>
      <x:c r="I33" s="25" t="str">
        <x:v>全面从严治党体系</x:v>
      </x:c>
      <x:c r="J33" s="25" t="str">
        <x:v>从历史演进解释体系建设</x:v>
      </x:c>
      <x:c r="K33" s="25" t="str">
        <x:v>历史逻辑</x:v>
      </x:c>
      <x:c r="L33" s="25" t="str">
        <x:v>历史—现实分析</x:v>
      </x:c>
      <x:c r="M33" s="25" t="str">
        <x:v>为十四个坚持的体系化提供制度线索</x:v>
      </x:c>
      <x:c r="N33" s="25" t="str">
        <x:v>专题支撑</x:v>
      </x:c>
      <x:c r="O33" s="26" t="str">
        <x:v>题录核验</x:v>
      </x:c>
      <x:c r="P33" s="25" t="str">
        <x:v>https://gcys.cbpt.cnki.net/portal/journal/portal/client/paper/26324328521d222080dc8a2a1e3c8e89</x:v>
      </x:c>
    </x:row>
    <x:row r="34">
      <x:c r="A34" s="21" t="n">
        <x:v>33</x:v>
      </x:c>
      <x:c r="B34" s="25" t="str">
        <x:v>舒刚、徐为结</x:v>
      </x:c>
      <x:c r="C34" s="25" t="str">
        <x:v>习近平关于高校党建重要论述的价值意蕴与践行进路</x:v>
      </x:c>
      <x:c r="D34" s="25" t="str">
        <x:v>国家教育行政学院学报</x:v>
      </x:c>
      <x:c r="E34" s="26" t="str">
        <x:v>2023</x:v>
      </x:c>
      <x:c r="F34" s="26" t="str">
        <x:v>10</x:v>
      </x:c>
      <x:c r="G34" s="26" t="str"/>
      <x:c r="H34" s="26" t="str">
        <x:v>CSSCI来源期刊</x:v>
      </x:c>
      <x:c r="I34" s="25" t="str">
        <x:v>高校党建</x:v>
      </x:c>
      <x:c r="J34" s="25" t="str">
        <x:v>研究党建思想在高校场域的转化</x:v>
      </x:c>
      <x:c r="K34" s="25" t="str">
        <x:v>场域研究</x:v>
      </x:c>
      <x:c r="L34" s="25" t="str">
        <x:v>应用分析</x:v>
      </x:c>
      <x:c r="M34" s="25" t="str">
        <x:v>适合作为领域党建案例</x:v>
      </x:c>
      <x:c r="N34" s="25" t="str">
        <x:v>应用支撑</x:v>
      </x:c>
      <x:c r="O34" s="26" t="str">
        <x:v>题录核验</x:v>
      </x:c>
      <x:c r="P34" s="25" t="str">
        <x:v>https://gcys.cbpt.cnki.net/portal/journal/portal/client/paper/26324328521d222080dc8a2a1e3c8e89</x:v>
      </x:c>
    </x:row>
    <x:row r="35">
      <x:c r="A35" s="21" t="n">
        <x:v>34</x:v>
      </x:c>
      <x:c r="B35" s="25" t="str">
        <x:v>冯继康、刘晓彤</x:v>
      </x:c>
      <x:c r="C35" s="25" t="str">
        <x:v>习近平关于党的自我革命重要论述的四维审视</x:v>
      </x:c>
      <x:c r="D35" s="25" t="str">
        <x:v>东岳论丛</x:v>
      </x:c>
      <x:c r="E35" s="26" t="str">
        <x:v>2023</x:v>
      </x:c>
      <x:c r="F35" s="26" t="str">
        <x:v>8</x:v>
      </x:c>
      <x:c r="G35" s="26" t="str">
        <x:v>5-11+191</x:v>
      </x:c>
      <x:c r="H35" s="26" t="str">
        <x:v>CSSCI来源期刊</x:v>
      </x:c>
      <x:c r="I35" s="25" t="str">
        <x:v>自我革命</x:v>
      </x:c>
      <x:c r="J35" s="25" t="str">
        <x:v>从生成、内涵、路径、贡献系统考察</x:v>
      </x:c>
      <x:c r="K35" s="25" t="str">
        <x:v>四维审视</x:v>
      </x:c>
      <x:c r="L35" s="25" t="str">
        <x:v>体系阐释</x:v>
      </x:c>
      <x:c r="M35" s="25" t="str">
        <x:v>自我革命专题的高相关支撑</x:v>
      </x:c>
      <x:c r="N35" s="25" t="str">
        <x:v>重点支撑</x:v>
      </x:c>
      <x:c r="O35" s="26" t="str">
        <x:v>摘要级学习</x:v>
      </x:c>
      <x:c r="P35" s="25" t="str">
        <x:v>https://dylc.cbpt.cnki.net/portal/journal/portal/client/paper/1398d7a1f81416d7be59932c4ea2ee29</x:v>
      </x:c>
    </x:row>
    <x:row r="36">
      <x:c r="A36" s="21" t="n">
        <x:v>35</x:v>
      </x:c>
      <x:c r="B36" s="25" t="str">
        <x:v>宋福范</x:v>
      </x:c>
      <x:c r="C36" s="25" t="str">
        <x:v>论习近平总书记关于党的自我革命的重要思想的原创性贡献</x:v>
      </x:c>
      <x:c r="D36" s="25" t="str">
        <x:v>理论视野</x:v>
      </x:c>
      <x:c r="E36" s="26" t="str">
        <x:v>2026</x:v>
      </x:c>
      <x:c r="F36" s="26" t="str">
        <x:v>2</x:v>
      </x:c>
      <x:c r="G36" s="26" t="str"/>
      <x:c r="H36" s="26" t="str">
        <x:v>CSSCI扩展/核心</x:v>
      </x:c>
      <x:c r="I36" s="25" t="str">
        <x:v>自我革命</x:v>
      </x:c>
      <x:c r="J36" s="25" t="str">
        <x:v>用时代课题、重大命题、九个以体系解释原创贡献</x:v>
      </x:c>
      <x:c r="K36" s="25" t="str">
        <x:v>顶层逻辑</x:v>
      </x:c>
      <x:c r="L36" s="25" t="str">
        <x:v>理论史比较</x:v>
      </x:c>
      <x:c r="M36" s="25" t="str">
        <x:v>适合原理性贡献章节</x:v>
      </x:c>
      <x:c r="N36" s="25" t="str">
        <x:v>重点支撑</x:v>
      </x:c>
      <x:c r="O36" s="26" t="str">
        <x:v>摘要级学习</x:v>
      </x:c>
      <x:c r="P36" s="25" t="str">
        <x:v>https://cnki.istiz.org.cn/kcms/detail/detail.aspx?dbcode=CJFD&amp;dbname=CJFD2026&amp;filename=LLSY202602003</x:v>
      </x:c>
    </x:row>
    <x:row r="37">
      <x:c r="A37" s="21" t="n">
        <x:v>36</x:v>
      </x:c>
      <x:c r="B37" s="25" t="str">
        <x:v>秦书生、梅可欣</x:v>
      </x:c>
      <x:c r="C37" s="25" t="str">
        <x:v>习近平总书记关于党的自我革命的重要思想的内容体系、理论主线与时代价值</x:v>
      </x:c>
      <x:c r="D37" s="25" t="str">
        <x:v>治理现代化研究</x:v>
      </x:c>
      <x:c r="E37" s="26" t="str">
        <x:v>2025</x:v>
      </x:c>
      <x:c r="F37" s="26" t="str">
        <x:v>4</x:v>
      </x:c>
      <x:c r="G37" s="26" t="str">
        <x:v>5-14</x:v>
      </x:c>
      <x:c r="H37" s="26" t="str">
        <x:v>核心期刊</x:v>
      </x:c>
      <x:c r="I37" s="25" t="str">
        <x:v>自我革命</x:v>
      </x:c>
      <x:c r="J37" s="25" t="str">
        <x:v>围绕为什么要、为什么能、怎样推进构造理论主线</x:v>
      </x:c>
      <x:c r="K37" s="25" t="str">
        <x:v>问题链</x:v>
      </x:c>
      <x:c r="L37" s="25" t="str">
        <x:v>体系阐释</x:v>
      </x:c>
      <x:c r="M37" s="25" t="str">
        <x:v>问题链清楚，适合学习主线组织</x:v>
      </x:c>
      <x:c r="N37" s="25" t="str">
        <x:v>重点支撑</x:v>
      </x:c>
      <x:c r="O37" s="26" t="str">
        <x:v>摘要级学习</x:v>
      </x:c>
      <x:c r="P37" s="25" t="str">
        <x:v>https://zlxd.cbpt.cnki.net/portal/journal/portal/client/paper/44a422c326a93a37430b71665a32e314</x:v>
      </x:c>
    </x:row>
    <x:row r="38">
      <x:c r="A38" s="21" t="n">
        <x:v>37</x:v>
      </x:c>
      <x:c r="B38" s="25" t="str">
        <x:v>甘露明</x:v>
      </x:c>
      <x:c r="C38" s="25" t="str">
        <x:v>习近平总书记关于党的自我革命的重要思想：概念创新、理论拓展、体系构建</x:v>
      </x:c>
      <x:c r="D38" s="25" t="str">
        <x:v>中共济南市委党校学报</x:v>
      </x:c>
      <x:c r="E38" s="26" t="str">
        <x:v>2025</x:v>
      </x:c>
      <x:c r="F38" s="26" t="str">
        <x:v>4</x:v>
      </x:c>
      <x:c r="G38" s="26" t="str">
        <x:v>35-41</x:v>
      </x:c>
      <x:c r="H38" s="26" t="str">
        <x:v>党校学报</x:v>
      </x:c>
      <x:c r="I38" s="25" t="str">
        <x:v>自我革命</x:v>
      </x:c>
      <x:c r="J38" s="25" t="str">
        <x:v>从概念、理论、体系三个层次解释创新</x:v>
      </x:c>
      <x:c r="K38" s="25" t="str">
        <x:v>概念—理论—体系</x:v>
      </x:c>
      <x:c r="L38" s="25" t="str">
        <x:v>理论阐释</x:v>
      </x:c>
      <x:c r="M38" s="25" t="str">
        <x:v>适合借鉴递进式结构</x:v>
      </x:c>
      <x:c r="N38" s="25" t="str">
        <x:v>专题支撑</x:v>
      </x:c>
      <x:c r="O38" s="26" t="str">
        <x:v>摘要级学习</x:v>
      </x:c>
      <x:c r="P38" s="25" t="str">
        <x:v>https://jina.cbpt.cnki.net/portal/journal/portal/client/paper/99d3c4ff77f5749ddfc40c10b5238687</x:v>
      </x:c>
    </x:row>
    <x:row r="39">
      <x:c r="A39" s="21" t="n">
        <x:v>38</x:v>
      </x:c>
      <x:c r="B39" s="25" t="str">
        <x:v>余斌、刘鸣</x:v>
      </x:c>
      <x:c r="C39" s="25" t="str">
        <x:v>习近平总书记关于党的自我革命的重要思想的丰富内涵与精神品格</x:v>
      </x:c>
      <x:c r="D39" s="25" t="str">
        <x:v>江汉论坛</x:v>
      </x:c>
      <x:c r="E39" s="26" t="str">
        <x:v>2025</x:v>
      </x:c>
      <x:c r="F39" s="26" t="str">
        <x:v>12</x:v>
      </x:c>
      <x:c r="G39" s="26" t="str">
        <x:v>13-20</x:v>
      </x:c>
      <x:c r="H39" s="26" t="str">
        <x:v>CSSCI来源期刊</x:v>
      </x:c>
      <x:c r="I39" s="25" t="str">
        <x:v>自我革命</x:v>
      </x:c>
      <x:c r="J39" s="25" t="str">
        <x:v>考察理论来源、内容和精神品格</x:v>
      </x:c>
      <x:c r="K39" s="25" t="str">
        <x:v>理论谱系</x:v>
      </x:c>
      <x:c r="L39" s="25" t="str">
        <x:v>体系阐释</x:v>
      </x:c>
      <x:c r="M39" s="25" t="str">
        <x:v>适合补充精神品格维度</x:v>
      </x:c>
      <x:c r="N39" s="25" t="str">
        <x:v>专题支撑</x:v>
      </x:c>
      <x:c r="O39" s="26" t="str">
        <x:v>摘要级学习</x:v>
      </x:c>
      <x:c r="P39" s="25" t="str">
        <x:v>https://jhlt.cbpt.cnki.net/portal/journal/portal/client/paper/294ecb55a5e98e7715d7e10e70982506</x:v>
      </x:c>
    </x:row>
    <x:row r="40">
      <x:c r="A40" s="21" t="n">
        <x:v>39</x:v>
      </x:c>
      <x:c r="B40" s="25" t="str">
        <x:v>张洪松</x:v>
      </x:c>
      <x:c r="C40" s="25" t="str">
        <x:v>准确把握习近平关于依规治党重要论述的深刻意蕴</x:v>
      </x:c>
      <x:c r="D40" s="25" t="str">
        <x:v>马克思主义理论学科研究</x:v>
      </x:c>
      <x:c r="E40" s="26" t="str">
        <x:v>2023</x:v>
      </x:c>
      <x:c r="F40" s="26" t="str">
        <x:v>5</x:v>
      </x:c>
      <x:c r="G40" s="26" t="str">
        <x:v>46-56</x:v>
      </x:c>
      <x:c r="H40" s="26" t="str">
        <x:v>CSSCI来源期刊</x:v>
      </x:c>
      <x:c r="I40" s="25" t="str">
        <x:v>依规治党</x:v>
      </x:c>
      <x:c r="J40" s="25" t="str">
        <x:v>从战略地位、科学内涵、辩证关系、实践方略构造体系</x:v>
      </x:c>
      <x:c r="K40" s="25" t="str">
        <x:v>规范分析</x:v>
      </x:c>
      <x:c r="L40" s="25" t="str">
        <x:v>党内法规研究</x:v>
      </x:c>
      <x:c r="M40" s="25" t="str">
        <x:v>适合十四个坚持中制度治党专题</x:v>
      </x:c>
      <x:c r="N40" s="25" t="str">
        <x:v>重点支撑</x:v>
      </x:c>
      <x:c r="O40" s="26" t="str">
        <x:v>摘要级学习</x:v>
      </x:c>
      <x:c r="P40" s="25" t="str">
        <x:v>https://mlky.cbpt.cnki.net/portal/journal/portal/client/paper/1cfe4f5016135ded6350f245da1897f7</x:v>
      </x:c>
    </x:row>
    <x:row r="41">
      <x:c r="A41" s="21" t="n">
        <x:v>40</x:v>
      </x:c>
      <x:c r="B41" s="25" t="str">
        <x:v>陶林</x:v>
      </x:c>
      <x:c r="C41" s="25" t="str">
        <x:v>论习近平对中国共产党作风建设的理论贡献</x:v>
      </x:c>
      <x:c r="D41" s="25" t="str">
        <x:v>理论建设</x:v>
      </x:c>
      <x:c r="E41" s="26" t="str">
        <x:v>2021</x:v>
      </x:c>
      <x:c r="F41" s="26" t="str">
        <x:v>2</x:v>
      </x:c>
      <x:c r="G41" s="26" t="str">
        <x:v>1-7</x:v>
      </x:c>
      <x:c r="H41" s="26" t="str">
        <x:v>中文核心</x:v>
      </x:c>
      <x:c r="I41" s="25" t="str">
        <x:v>作风建设</x:v>
      </x:c>
      <x:c r="J41" s="25" t="str">
        <x:v>从历史经验、现实挑战、长期执政解释理论贡献</x:v>
      </x:c>
      <x:c r="K41" s="25" t="str">
        <x:v>历史—现实</x:v>
      </x:c>
      <x:c r="L41" s="25" t="str">
        <x:v>专题阐释</x:v>
      </x:c>
      <x:c r="M41" s="25" t="str">
        <x:v>作风建设常态化长效化的理论前史</x:v>
      </x:c>
      <x:c r="N41" s="25" t="str">
        <x:v>专题支撑</x:v>
      </x:c>
      <x:c r="O41" s="26" t="str">
        <x:v>摘要级学习</x:v>
      </x:c>
      <x:c r="P41" s="25" t="str">
        <x:v>https://lljs.cbpt.cnki.net/portal/journal/portal/client/paper/959107200ecec44161360dcb4eefe59f</x:v>
      </x:c>
    </x:row>
    <x:row r="42">
      <x:c r="A42" s="21" t="n">
        <x:v>41</x:v>
      </x:c>
      <x:c r="B42" s="25" t="str">
        <x:v>魏烁豪、张荣臣</x:v>
      </x:c>
      <x:c r="C42" s="25" t="str">
        <x:v>习近平总书记关于加强党的作风建设重要论述的传统文化底蕴</x:v>
      </x:c>
      <x:c r="D42" s="25" t="str">
        <x:v>治理现代化研究</x:v>
      </x:c>
      <x:c r="E42" s="26" t="str">
        <x:v>2025</x:v>
      </x:c>
      <x:c r="F42" s="26" t="str">
        <x:v>4</x:v>
      </x:c>
      <x:c r="G42" s="26" t="str">
        <x:v>15-23</x:v>
      </x:c>
      <x:c r="H42" s="26" t="str">
        <x:v>核心期刊</x:v>
      </x:c>
      <x:c r="I42" s="25" t="str">
        <x:v>作风建设/第二个结合</x:v>
      </x:c>
      <x:c r="J42" s="25" t="str">
        <x:v>从传统文化资源解释作风建设思想</x:v>
      </x:c>
      <x:c r="K42" s="25" t="str">
        <x:v>文化阐释</x:v>
      </x:c>
      <x:c r="L42" s="25" t="str">
        <x:v>第二个结合</x:v>
      </x:c>
      <x:c r="M42" s="25" t="str">
        <x:v>与体用观研究关联度高</x:v>
      </x:c>
      <x:c r="N42" s="25" t="str">
        <x:v>高度相关</x:v>
      </x:c>
      <x:c r="O42" s="26" t="str">
        <x:v>摘要级学习</x:v>
      </x:c>
      <x:c r="P42" s="25" t="str">
        <x:v>https://zlxd.cbpt.cnki.net/portal/journal/portal/client/paper/0a20aa0a8f882d71f377bbd7207c9095</x:v>
      </x:c>
    </x:row>
    <x:row r="43">
      <x:c r="A43" s="21" t="n">
        <x:v>42</x:v>
      </x:c>
      <x:c r="B43" s="25" t="str">
        <x:v>王韶兴、侯月英</x:v>
      </x:c>
      <x:c r="C43" s="25" t="str">
        <x:v>大党独有难题的理论意涵、现实指征及其应因机制</x:v>
      </x:c>
      <x:c r="D43" s="25" t="str">
        <x:v>东岳论丛</x:v>
      </x:c>
      <x:c r="E43" s="26" t="str">
        <x:v>2025</x:v>
      </x:c>
      <x:c r="F43" s="26" t="str">
        <x:v>1</x:v>
      </x:c>
      <x:c r="G43" s="26" t="str">
        <x:v>5-11+191</x:v>
      </x:c>
      <x:c r="H43" s="26" t="str">
        <x:v>CSSCI来源期刊</x:v>
      </x:c>
      <x:c r="I43" s="25" t="str">
        <x:v>大党独有难题</x:v>
      </x:c>
      <x:c r="J43" s="25" t="str">
        <x:v>从概念、表现、应对分析大党治理难题</x:v>
      </x:c>
      <x:c r="K43" s="25" t="str">
        <x:v>问题分析</x:v>
      </x:c>
      <x:c r="L43" s="25" t="str">
        <x:v>理论—现实</x:v>
      </x:c>
      <x:c r="M43" s="25" t="str">
        <x:v>适合作为现实回应章节直接依据</x:v>
      </x:c>
      <x:c r="N43" s="25" t="str">
        <x:v>重点支撑</x:v>
      </x:c>
      <x:c r="O43" s="26" t="str">
        <x:v>摘要级学习</x:v>
      </x:c>
      <x:c r="P43" s="25" t="str">
        <x:v>https://dylc.cbpt.cnki.net/portal/journal/portal/client/paper/aa18bae00cf4040e942bf808be10abd7</x:v>
      </x:c>
    </x:row>
    <x:row r="44">
      <x:c r="A44" s="21" t="n">
        <x:v>43</x:v>
      </x:c>
      <x:c r="B44" s="25" t="str">
        <x:v>刘先春、董丽</x:v>
      </x:c>
      <x:c r="C44" s="25" t="str">
        <x:v>中国共产党破解大党独有难题的内在逻辑</x:v>
      </x:c>
      <x:c r="D44" s="25" t="str">
        <x:v>广西大学学报（哲学社会科学版）</x:v>
      </x:c>
      <x:c r="E44" s="26" t="str">
        <x:v>2025</x:v>
      </x:c>
      <x:c r="F44" s="26" t="str">
        <x:v>1</x:v>
      </x:c>
      <x:c r="G44" s="26" t="str">
        <x:v>1-10</x:v>
      </x:c>
      <x:c r="H44" s="26" t="str">
        <x:v>CSSCI来源期刊</x:v>
      </x:c>
      <x:c r="I44" s="25" t="str">
        <x:v>大党独有难题</x:v>
      </x:c>
      <x:c r="J44" s="25" t="str">
        <x:v>从理论指导、历史资源、现实要求解释破解逻辑</x:v>
      </x:c>
      <x:c r="K44" s="25" t="str">
        <x:v>内在逻辑</x:v>
      </x:c>
      <x:c r="L44" s="25" t="str">
        <x:v>历史—现实</x:v>
      </x:c>
      <x:c r="M44" s="25" t="str">
        <x:v>适合说明自我革命为何成为主攻方向</x:v>
      </x:c>
      <x:c r="N44" s="25" t="str">
        <x:v>重点支撑</x:v>
      </x:c>
      <x:c r="O44" s="26" t="str">
        <x:v>摘要级学习</x:v>
      </x:c>
      <x:c r="P44" s="25" t="str">
        <x:v>https://gxzd.cbpt.cnki.net/portal/journal/portal/client/paper/7ac5b61487321d049a6725a59a9cb85c</x:v>
      </x:c>
    </x:row>
    <x:row r="45">
      <x:c r="A45" s="21" t="n">
        <x:v>44</x:v>
      </x:c>
      <x:c r="B45" s="25" t="str">
        <x:v>樊士博、张莹</x:v>
      </x:c>
      <x:c r="C45" s="25" t="str">
        <x:v>中国共产党解决大党独有难题的理论旨趣与方法要义</x:v>
      </x:c>
      <x:c r="D45" s="25" t="str">
        <x:v>理论建设</x:v>
      </x:c>
      <x:c r="E45" s="26" t="str">
        <x:v>2023</x:v>
      </x:c>
      <x:c r="F45" s="26" t="str">
        <x:v>3</x:v>
      </x:c>
      <x:c r="G45" s="26" t="str">
        <x:v>26-35</x:v>
      </x:c>
      <x:c r="H45" s="26" t="str">
        <x:v>中文核心</x:v>
      </x:c>
      <x:c r="I45" s="25" t="str">
        <x:v>大党独有难题</x:v>
      </x:c>
      <x:c r="J45" s="25" t="str">
        <x:v>围绕六个如何始终解释理论旨趣和方法</x:v>
      </x:c>
      <x:c r="K45" s="25" t="str">
        <x:v>问题清单</x:v>
      </x:c>
      <x:c r="L45" s="25" t="str">
        <x:v>理论阐释</x:v>
      </x:c>
      <x:c r="M45" s="25" t="str">
        <x:v>可用于现实问题分类，但不宜机械照搬六分法</x:v>
      </x:c>
      <x:c r="N45" s="25" t="str">
        <x:v>专题支撑</x:v>
      </x:c>
      <x:c r="O45" s="26" t="str">
        <x:v>摘要级学习</x:v>
      </x:c>
      <x:c r="P45" s="25" t="str">
        <x:v>https://lljs.cbpt.cnki.net/portal/journal/portal/client/paper/d2ffee433df56b928305a186ab021e0a</x:v>
      </x:c>
    </x:row>
    <x:row r="46">
      <x:c r="A46" s="21" t="n">
        <x:v>45</x:v>
      </x:c>
      <x:c r="B46" s="25" t="str">
        <x:v>张丽</x:v>
      </x:c>
      <x:c r="C46" s="25" t="str">
        <x:v>以党的自我革命引领社会革命：内生逻辑、精神伟力与实践指向</x:v>
      </x:c>
      <x:c r="D46" s="25" t="str">
        <x:v>学习与实践</x:v>
      </x:c>
      <x:c r="E46" s="26" t="str">
        <x:v>2025</x:v>
      </x:c>
      <x:c r="F46" s="26" t="str">
        <x:v>2</x:v>
      </x:c>
      <x:c r="G46" s="26" t="str">
        <x:v>13-22</x:v>
      </x:c>
      <x:c r="H46" s="26" t="str">
        <x:v>CSSCI/中文核心</x:v>
      </x:c>
      <x:c r="I46" s="25" t="str">
        <x:v>两种革命</x:v>
      </x:c>
      <x:c r="J46" s="25" t="str">
        <x:v>解释自我革命与社会革命的内生关系</x:v>
      </x:c>
      <x:c r="K46" s="25" t="str">
        <x:v>关系分析</x:v>
      </x:c>
      <x:c r="L46" s="25" t="str">
        <x:v>辩证分析</x:v>
      </x:c>
      <x:c r="M46" s="25" t="str">
        <x:v>适合从体用关系讨论两种革命贯通</x:v>
      </x:c>
      <x:c r="N46" s="25" t="str">
        <x:v>专题支撑</x:v>
      </x:c>
      <x:c r="O46" s="26" t="str">
        <x:v>摘要级学习</x:v>
      </x:c>
      <x:c r="P46" s="25" t="str">
        <x:v>https://xxys.cbpt.cnki.net/portal/journal/portal/client/paper/18d8574f18b5e74a7a476f4c6f1ca5c7</x:v>
      </x:c>
    </x:row>
    <x:row r="47">
      <x:c r="A47" s="21" t="n">
        <x:v>46</x:v>
      </x:c>
      <x:c r="B47" s="25" t="str">
        <x:v>张志元、李洋</x:v>
      </x:c>
      <x:c r="C47" s="25" t="str">
        <x:v>新时代中国共产党自我革命的价值、动力与路径</x:v>
      </x:c>
      <x:c r="D47" s="25" t="str">
        <x:v>理论导刊</x:v>
      </x:c>
      <x:c r="E47" s="26" t="str">
        <x:v>2022</x:v>
      </x:c>
      <x:c r="F47" s="26" t="str">
        <x:v>11</x:v>
      </x:c>
      <x:c r="G47" s="26" t="str">
        <x:v>37-43</x:v>
      </x:c>
      <x:c r="H47" s="26" t="str">
        <x:v>CSSCI扩展/核心</x:v>
      </x:c>
      <x:c r="I47" s="25" t="str">
        <x:v>自我革命</x:v>
      </x:c>
      <x:c r="J47" s="25" t="str">
        <x:v>从价值、动力、路径分析自我革命</x:v>
      </x:c>
      <x:c r="K47" s="25" t="str">
        <x:v>动力分析</x:v>
      </x:c>
      <x:c r="L47" s="25" t="str">
        <x:v>理论阐释</x:v>
      </x:c>
      <x:c r="M47" s="25" t="str">
        <x:v>适合提炼自我革命内生动力</x:v>
      </x:c>
      <x:c r="N47" s="25" t="str">
        <x:v>专题支撑</x:v>
      </x:c>
      <x:c r="O47" s="26" t="str">
        <x:v>摘要级学习</x:v>
      </x:c>
      <x:c r="P47" s="25" t="str">
        <x:v>https://lldk.cbpt.cnki.net/portal/journal/portal/client/paper/a57ef8f48f3883550342e3a36fea2fdc</x:v>
      </x:c>
    </x:row>
    <x:row r="48">
      <x:c r="A48" s="21" t="n">
        <x:v>47</x:v>
      </x:c>
      <x:c r="B48" s="25" t="str">
        <x:v>沈传亮</x:v>
      </x:c>
      <x:c r="C48" s="25" t="str">
        <x:v>新时代党的自我革命：理论创新与实践路径</x:v>
      </x:c>
      <x:c r="D48" s="25" t="str">
        <x:v>特区实践与理论</x:v>
      </x:c>
      <x:c r="E48" s="26" t="str">
        <x:v>2024</x:v>
      </x:c>
      <x:c r="F48" s="26" t="str">
        <x:v>3</x:v>
      </x:c>
      <x:c r="G48" s="26" t="str">
        <x:v>11-19</x:v>
      </x:c>
      <x:c r="H48" s="26" t="str">
        <x:v>中文核心</x:v>
      </x:c>
      <x:c r="I48" s="25" t="str">
        <x:v>自我革命</x:v>
      </x:c>
      <x:c r="J48" s="25" t="str">
        <x:v>把九个以落实为实践路径</x:v>
      </x:c>
      <x:c r="K48" s="25" t="str">
        <x:v>理论实践统一</x:v>
      </x:c>
      <x:c r="L48" s="25" t="str">
        <x:v>政策分析</x:v>
      </x:c>
      <x:c r="M48" s="25" t="str">
        <x:v>适合连接理论体系和治理实践</x:v>
      </x:c>
      <x:c r="N48" s="25" t="str">
        <x:v>专题支撑</x:v>
      </x:c>
      <x:c r="O48" s="26" t="str">
        <x:v>摘要级学习</x:v>
      </x:c>
      <x:c r="P48" s="25" t="str">
        <x:v>https://tqnn.cbpt.cnki.net/portal/journal/portal/client/paper/e31fdf618736bc6bd75edd77d90cba4d</x:v>
      </x:c>
    </x:row>
    <x:row r="49">
      <x:c r="A49" s="21" t="n">
        <x:v>48</x:v>
      </x:c>
      <x:c r="B49" s="25" t="str">
        <x:v>彭畅、高祥</x:v>
      </x:c>
      <x:c r="C49" s="25" t="str">
        <x:v>近年来学界关于大党独有难题研究的学术进路与趋势</x:v>
      </x:c>
      <x:c r="D49" s="25" t="str">
        <x:v>理论建设</x:v>
      </x:c>
      <x:c r="E49" s="26" t="str">
        <x:v>2024</x:v>
      </x:c>
      <x:c r="F49" s="26" t="str">
        <x:v>4</x:v>
      </x:c>
      <x:c r="G49" s="26" t="str">
        <x:v>93-103</x:v>
      </x:c>
      <x:c r="H49" s="26" t="str">
        <x:v>中文核心</x:v>
      </x:c>
      <x:c r="I49" s="25" t="str">
        <x:v>研究述评</x:v>
      </x:c>
      <x:c r="J49" s="25" t="str">
        <x:v>梳理概念、成因、表现、破解路径并指出趋势</x:v>
      </x:c>
      <x:c r="K49" s="25" t="str">
        <x:v>文献计量/述评</x:v>
      </x:c>
      <x:c r="L49" s="25" t="str">
        <x:v>学术史</x:v>
      </x:c>
      <x:c r="M49" s="25" t="str">
        <x:v>可避免重复已有四块式研究</x:v>
      </x:c>
      <x:c r="N49" s="25" t="str">
        <x:v>核心综述</x:v>
      </x:c>
      <x:c r="O49" s="26" t="str">
        <x:v>摘要级学习</x:v>
      </x:c>
      <x:c r="P49" s="25" t="str">
        <x:v>https://lljs.cbpt.cnki.net/portal/journal/portal/client/paper/901f9a9235045143caef5a1d824463b4</x:v>
      </x:c>
    </x:row>
    <x:row r="50">
      <x:c r="A50" s="21" t="n">
        <x:v>49</x:v>
      </x:c>
      <x:c r="B50" s="25" t="str">
        <x:v>中共中央组织部</x:v>
      </x:c>
      <x:c r="C50" s="25" t="str">
        <x:v>坚持以习近平党建思想为指引 奋力推进新时代党的建设新的伟大工程</x:v>
      </x:c>
      <x:c r="D50" s="25" t="str">
        <x:v>人民日报</x:v>
      </x:c>
      <x:c r="E50" s="26" t="str">
        <x:v>2026</x:v>
      </x:c>
      <x:c r="F50" s="26" t="str">
        <x:v>06-30</x:v>
      </x:c>
      <x:c r="G50" s="26" t="str">
        <x:v>第05版</x:v>
      </x:c>
      <x:c r="H50" s="26" t="str">
        <x:v>权威报纸</x:v>
      </x:c>
      <x:c r="I50" s="25" t="str">
        <x:v>权威总论</x:v>
      </x:c>
      <x:c r="J50" s="25" t="str">
        <x:v>明确思想定位、十四个坚持和实践要求</x:v>
      </x:c>
      <x:c r="K50" s="25" t="str">
        <x:v>权威阐释</x:v>
      </x:c>
      <x:c r="L50" s="25" t="str">
        <x:v>政策文本分析</x:v>
      </x:c>
      <x:c r="M50" s="25" t="str">
        <x:v>确定概念、体系和表述的首要依据</x:v>
      </x:c>
      <x:c r="N50" s="25" t="str">
        <x:v>一级权威</x:v>
      </x:c>
      <x:c r="O50" s="26" t="str">
        <x:v>全文核验</x:v>
      </x:c>
      <x:c r="P50" s="25" t="str">
        <x:v>https://paper.people.com.cn/rmrb/pc/content/202606/30/content_30165690.html</x:v>
      </x:c>
    </x:row>
    <x:row r="51">
      <x:c r="A51" s="21" t="n">
        <x:v>50</x:v>
      </x:c>
      <x:c r="B51" s="25" t="str">
        <x:v>中央纪委国家监委机关</x:v>
      </x:c>
      <x:c r="C51" s="25" t="str">
        <x:v>深入学习贯彻习近平党建思想 推动新时代新征程纪检监察工作高质量发展</x:v>
      </x:c>
      <x:c r="D51" s="25" t="str">
        <x:v>人民日报</x:v>
      </x:c>
      <x:c r="E51" s="26" t="str">
        <x:v>2026</x:v>
      </x:c>
      <x:c r="F51" s="26" t="str">
        <x:v>07-31</x:v>
      </x:c>
      <x:c r="G51" s="26" t="str">
        <x:v>第09版</x:v>
      </x:c>
      <x:c r="H51" s="26" t="str">
        <x:v>权威报纸</x:v>
      </x:c>
      <x:c r="I51" s="25" t="str">
        <x:v>纪检监察</x:v>
      </x:c>
      <x:c r="J51" s="25" t="str">
        <x:v>以十四个坚持统摄纪检监察实践</x:v>
      </x:c>
      <x:c r="K51" s="25" t="str">
        <x:v>权威阐释</x:v>
      </x:c>
      <x:c r="L51" s="25" t="str">
        <x:v>实践阐释</x:v>
      </x:c>
      <x:c r="M51" s="25" t="str">
        <x:v>适合纪律、监督、反腐专题</x:v>
      </x:c>
      <x:c r="N51" s="25" t="str">
        <x:v>一级权威</x:v>
      </x:c>
      <x:c r="O51" s="26" t="str">
        <x:v>全文核验</x:v>
      </x:c>
      <x:c r="P51" s="25" t="str">
        <x:v>https://paper.people.com.cn/rmrb/pc/content/202607/31/content_30172284.html</x:v>
      </x:c>
    </x:row>
    <x:row r="52">
      <x:c r="A52" s="21" t="n">
        <x:v>51</x:v>
      </x:c>
      <x:c r="B52" s="25" t="str">
        <x:v>人民日报评论员</x:v>
      </x:c>
      <x:c r="C52" s="25" t="str">
        <x:v>加强新时代党的建设的根本遵循</x:v>
      </x:c>
      <x:c r="D52" s="25" t="str">
        <x:v>人民日报</x:v>
      </x:c>
      <x:c r="E52" s="26" t="str">
        <x:v>2026</x:v>
      </x:c>
      <x:c r="F52" s="26" t="str">
        <x:v>06-17</x:v>
      </x:c>
      <x:c r="G52" s="26" t="str"/>
      <x:c r="H52" s="26" t="str">
        <x:v>权威报纸</x:v>
      </x:c>
      <x:c r="I52" s="25" t="str">
        <x:v>权威总论</x:v>
      </x:c>
      <x:c r="J52" s="25" t="str">
        <x:v>概括习近平党建思想的地位和十四个坚持</x:v>
      </x:c>
      <x:c r="K52" s="25" t="str">
        <x:v>权威阐释</x:v>
      </x:c>
      <x:c r="L52" s="25" t="str">
        <x:v>总论</x:v>
      </x:c>
      <x:c r="M52" s="25" t="str">
        <x:v>适合开篇界定</x:v>
      </x:c>
      <x:c r="N52" s="25" t="str">
        <x:v>一级权威</x:v>
      </x:c>
      <x:c r="O52" s="26" t="str">
        <x:v>全文核验</x:v>
      </x:c>
      <x:c r="P52" s="25" t="str">
        <x:v>https://paper.people.com.cn/rmrb/pc/content/202606/17/content_30163481.html</x:v>
      </x:c>
    </x:row>
    <x:row r="53">
      <x:c r="A53" s="21" t="n">
        <x:v>52</x:v>
      </x:c>
      <x:c r="B53" s="25" t="str">
        <x:v>人民日报理论版</x:v>
      </x:c>
      <x:c r="C53" s="25" t="str">
        <x:v>深入学习领会习近平党建思想的科学内涵</x:v>
      </x:c>
      <x:c r="D53" s="25" t="str">
        <x:v>人民日报</x:v>
      </x:c>
      <x:c r="E53" s="26" t="str">
        <x:v>2026</x:v>
      </x:c>
      <x:c r="F53" s="26" t="str">
        <x:v>07-01</x:v>
      </x:c>
      <x:c r="G53" s="26" t="str">
        <x:v>第06版</x:v>
      </x:c>
      <x:c r="H53" s="26" t="str">
        <x:v>权威报纸</x:v>
      </x:c>
      <x:c r="I53" s="25" t="str">
        <x:v>科学内涵</x:v>
      </x:c>
      <x:c r="J53" s="25" t="str">
        <x:v>围绕十四个坚持展开分论</x:v>
      </x:c>
      <x:c r="K53" s="25" t="str">
        <x:v>分论阐释</x:v>
      </x:c>
      <x:c r="L53" s="25" t="str">
        <x:v>理论专版</x:v>
      </x:c>
      <x:c r="M53" s="25" t="str">
        <x:v>可按十四个坚持定位权威解释</x:v>
      </x:c>
      <x:c r="N53" s="25" t="str">
        <x:v>一级权威</x:v>
      </x:c>
      <x:c r="O53" s="26" t="str">
        <x:v>全文核验</x:v>
      </x:c>
      <x:c r="P53" s="25" t="str">
        <x:v>https://paper.people.com.cn/rmrb/pc/content/202607/01/content_30165900.html</x:v>
      </x:c>
    </x:row>
    <x:row r="54">
      <x:c r="A54" s="21" t="n">
        <x:v>53</x:v>
      </x:c>
      <x:c r="B54" s="25" t="str">
        <x:v>人民日报理论版</x:v>
      </x:c>
      <x:c r="C54" s="25" t="str">
        <x:v>深学细悟习近平党建思想“总论”</x:v>
      </x:c>
      <x:c r="D54" s="25" t="str">
        <x:v>人民日报</x:v>
      </x:c>
      <x:c r="E54" s="26" t="str">
        <x:v>2026</x:v>
      </x:c>
      <x:c r="F54" s="26" t="str">
        <x:v>09-02</x:v>
      </x:c>
      <x:c r="G54" s="26" t="str"/>
      <x:c r="H54" s="26" t="str">
        <x:v>权威报纸</x:v>
      </x:c>
      <x:c r="I54" s="25" t="str">
        <x:v>体系结构</x:v>
      </x:c>
      <x:c r="J54" s="25" t="str">
        <x:v>把前四个坚持概括为总论</x:v>
      </x:c>
      <x:c r="K54" s="25" t="str">
        <x:v>总分结构</x:v>
      </x:c>
      <x:c r="L54" s="25" t="str">
        <x:v>体系阐释</x:v>
      </x:c>
      <x:c r="M54" s="25" t="str">
        <x:v>对十四个坚持内在结构具有直接启发</x:v>
      </x:c>
      <x:c r="N54" s="25" t="str">
        <x:v>一级权威</x:v>
      </x:c>
      <x:c r="O54" s="26" t="str">
        <x:v>全文核验</x:v>
      </x:c>
      <x:c r="P54" s="25" t="str">
        <x:v>https://paper.people.com.cn/rmrb/pc/content/202609/02/content_30178538.html</x:v>
      </x:c>
    </x:row>
    <x:row r="55">
      <x:c r="A55" s="21" t="n">
        <x:v>54</x:v>
      </x:c>
      <x:c r="B55" s="25" t="str">
        <x:v>人民日报理论版</x:v>
      </x:c>
      <x:c r="C55" s="25" t="str">
        <x:v>习近平党建思想的重大时代价值</x:v>
      </x:c>
      <x:c r="D55" s="25" t="str">
        <x:v>人民日报</x:v>
      </x:c>
      <x:c r="E55" s="26" t="str">
        <x:v>2026</x:v>
      </x:c>
      <x:c r="F55" s="26" t="str">
        <x:v>07-24</x:v>
      </x:c>
      <x:c r="G55" s="26" t="str"/>
      <x:c r="H55" s="26" t="str">
        <x:v>权威报纸</x:v>
      </x:c>
      <x:c r="I55" s="25" t="str">
        <x:v>时代价值</x:v>
      </x:c>
      <x:c r="J55" s="25" t="str">
        <x:v>从中国之问、世界之问、人民之问、时代之问展开</x:v>
      </x:c>
      <x:c r="K55" s="25" t="str">
        <x:v>四问结构</x:v>
      </x:c>
      <x:c r="L55" s="25" t="str">
        <x:v>价值阐释</x:v>
      </x:c>
      <x:c r="M55" s="25" t="str">
        <x:v>适合价值章节，注意避免宏大并列</x:v>
      </x:c>
      <x:c r="N55" s="25" t="str">
        <x:v>一级权威</x:v>
      </x:c>
      <x:c r="O55" s="26" t="str">
        <x:v>全文核验</x:v>
      </x:c>
      <x:c r="P55" s="25" t="str">
        <x:v>https://paper.people.com.cn/rmrb/pc/content/202607/24/content_30170724.html</x:v>
      </x:c>
    </x:row>
    <x:row r="56">
      <x:c r="A56" s="21" t="n">
        <x:v>55</x:v>
      </x:c>
      <x:c r="B56" s="25" t="str">
        <x:v>中央党校（国家行政学院）习近平新时代中国特色社会主义思想研究中心</x:v>
      </x:c>
      <x:c r="C56" s="25" t="str">
        <x:v>学深悟透习近平总书记关于党的自我革命的重要思想</x:v>
      </x:c>
      <x:c r="D56" s="25" t="str">
        <x:v>人民日报</x:v>
      </x:c>
      <x:c r="E56" s="26" t="str">
        <x:v>2024</x:v>
      </x:c>
      <x:c r="F56" s="26" t="str">
        <x:v>01-31</x:v>
      </x:c>
      <x:c r="G56" s="26" t="str">
        <x:v>第09版</x:v>
      </x:c>
      <x:c r="H56" s="26" t="str">
        <x:v>权威报纸</x:v>
      </x:c>
      <x:c r="I56" s="25" t="str">
        <x:v>自我革命</x:v>
      </x:c>
      <x:c r="J56" s="25" t="str">
        <x:v>系统阐释重大意义、重大问题、实践要求和道理学理哲理</x:v>
      </x:c>
      <x:c r="K56" s="25" t="str">
        <x:v>权威阐释</x:v>
      </x:c>
      <x:c r="L56" s="25" t="str">
        <x:v>理论专版</x:v>
      </x:c>
      <x:c r="M56" s="25" t="str">
        <x:v>自我革命思想的权威依据</x:v>
      </x:c>
      <x:c r="N56" s="25" t="str">
        <x:v>一级权威</x:v>
      </x:c>
      <x:c r="O56" s="26" t="str">
        <x:v>全文核验</x:v>
      </x:c>
      <x:c r="P56" s="25" t="str">
        <x:v>https://paper.people.com.cn/rmrb/html/2024-01/31/nw.D110000renmrb_20240131_1-09.htm</x:v>
      </x:c>
    </x:row>
    <x:row r="57">
      <x:c r="A57" s="21" t="n">
        <x:v>56</x:v>
      </x:c>
      <x:c r="B57" s="25" t="str">
        <x:v>中央党校（国家行政学院）习近平新时代中国特色社会主义思想研究中心</x:v>
      </x:c>
      <x:c r="C57" s="25" t="str">
        <x:v>从道理学理哲理上深化对党的自我革命的认识</x:v>
      </x:c>
      <x:c r="D57" s="25" t="str">
        <x:v>人民日报</x:v>
      </x:c>
      <x:c r="E57" s="26" t="str">
        <x:v>2024</x:v>
      </x:c>
      <x:c r="F57" s="26" t="str">
        <x:v>12-17</x:v>
      </x:c>
      <x:c r="G57" s="26" t="str">
        <x:v>第09版</x:v>
      </x:c>
      <x:c r="H57" s="26" t="str">
        <x:v>权威报纸</x:v>
      </x:c>
      <x:c r="I57" s="25" t="str">
        <x:v>自我革命</x:v>
      </x:c>
      <x:c r="J57" s="25" t="str">
        <x:v>从三种逻辑、两种革命和系统思维展开</x:v>
      </x:c>
      <x:c r="K57" s="25" t="str">
        <x:v>学理阐释</x:v>
      </x:c>
      <x:c r="L57" s="25" t="str">
        <x:v>理论专版</x:v>
      </x:c>
      <x:c r="M57" s="25" t="str">
        <x:v>适合提升哲学阐释深度</x:v>
      </x:c>
      <x:c r="N57" s="25" t="str">
        <x:v>一级权威</x:v>
      </x:c>
      <x:c r="O57" s="26" t="str">
        <x:v>全文核验</x:v>
      </x:c>
      <x:c r="P57" s="25" t="str">
        <x:v>https://paper.people.com.cn/rmrb/pc/content/202412/17/content_30046663.html</x:v>
      </x:c>
    </x:row>
    <x:row r="58">
      <x:c r="A58" s="21" t="n">
        <x:v>57</x:v>
      </x:c>
      <x:c r="B58" s="25" t="str">
        <x:v>曲青山</x:v>
      </x:c>
      <x:c r="C58" s="25" t="str">
        <x:v>时刻保持解决大党独有难题的清醒和坚定</x:v>
      </x:c>
      <x:c r="D58" s="25" t="str">
        <x:v>人民日报</x:v>
      </x:c>
      <x:c r="E58" s="26" t="str">
        <x:v>2023</x:v>
      </x:c>
      <x:c r="F58" s="26" t="str">
        <x:v>03-14</x:v>
      </x:c>
      <x:c r="G58" s="26" t="str">
        <x:v>第11版</x:v>
      </x:c>
      <x:c r="H58" s="26" t="str">
        <x:v>权威报纸</x:v>
      </x:c>
      <x:c r="I58" s="25" t="str">
        <x:v>大党独有难题</x:v>
      </x:c>
      <x:c r="J58" s="25" t="str">
        <x:v>权威阐释六个如何始终</x:v>
      </x:c>
      <x:c r="K58" s="25" t="str">
        <x:v>问题分析</x:v>
      </x:c>
      <x:c r="L58" s="25" t="str">
        <x:v>理论专版</x:v>
      </x:c>
      <x:c r="M58" s="25" t="str">
        <x:v>界定大党独有难题的权威材料</x:v>
      </x:c>
      <x:c r="N58" s="25" t="str">
        <x:v>一级权威</x:v>
      </x:c>
      <x:c r="O58" s="26" t="str">
        <x:v>全文核验</x:v>
      </x:c>
      <x:c r="P58" s="25" t="str">
        <x:v>https://paper.people.com.cn/rmrb/html/2023-03/14/nw.D110000renmrb_20230314_1-11.htm</x:v>
      </x:c>
    </x:row>
    <x:row r="59">
      <x:c r="A59" s="21" t="n">
        <x:v>58</x:v>
      </x:c>
      <x:c r="B59" s="25" t="str">
        <x:v>赵淑梅</x:v>
      </x:c>
      <x:c r="C59" s="25" t="str">
        <x:v>健全全面从严治党体系</x:v>
      </x:c>
      <x:c r="D59" s="25" t="str">
        <x:v>人民日报</x:v>
      </x:c>
      <x:c r="E59" s="26" t="str">
        <x:v>2024</x:v>
      </x:c>
      <x:c r="F59" s="26" t="str">
        <x:v>11-01</x:v>
      </x:c>
      <x:c r="G59" s="26" t="str">
        <x:v>第09版</x:v>
      </x:c>
      <x:c r="H59" s="26" t="str">
        <x:v>权威报纸</x:v>
      </x:c>
      <x:c r="I59" s="25" t="str">
        <x:v>全面从严治党体系</x:v>
      </x:c>
      <x:c r="J59" s="25" t="str">
        <x:v>从目标、整体效能、制度建设、思维方法展开</x:v>
      </x:c>
      <x:c r="K59" s="25" t="str">
        <x:v>系统治理</x:v>
      </x:c>
      <x:c r="L59" s="25" t="str">
        <x:v>理论专版</x:v>
      </x:c>
      <x:c r="M59" s="25" t="str">
        <x:v>适合制度体系分析</x:v>
      </x:c>
      <x:c r="N59" s="25" t="str">
        <x:v>一级权威</x:v>
      </x:c>
      <x:c r="O59" s="26" t="str">
        <x:v>全文核验</x:v>
      </x:c>
      <x:c r="P59" s="25" t="str">
        <x:v>https://paper.people.com.cn/rmrb/html/2024-11/01/nw.D110000renmrb_20241101_4-09.htm</x:v>
      </x:c>
    </x:row>
    <x:row r="60">
      <x:c r="A60" s="21" t="n">
        <x:v>59</x:v>
      </x:c>
      <x:c r="B60" s="25" t="str">
        <x:v>李新生</x:v>
      </x:c>
      <x:c r="C60" s="25" t="str">
        <x:v>进一步健全全面从严治党体系</x:v>
      </x:c>
      <x:c r="D60" s="25" t="str">
        <x:v>人民日报</x:v>
      </x:c>
      <x:c r="E60" s="26" t="str">
        <x:v>2024</x:v>
      </x:c>
      <x:c r="F60" s="26" t="str">
        <x:v>08-02</x:v>
      </x:c>
      <x:c r="G60" s="26" t="str">
        <x:v>第09版</x:v>
      </x:c>
      <x:c r="H60" s="26" t="str">
        <x:v>权威报纸</x:v>
      </x:c>
      <x:c r="I60" s="25" t="str">
        <x:v>全面从严治党体系</x:v>
      </x:c>
      <x:c r="J60" s="25" t="str">
        <x:v>强调改革精神和严的标准</x:v>
      </x:c>
      <x:c r="K60" s="25" t="str">
        <x:v>系统治理</x:v>
      </x:c>
      <x:c r="L60" s="25" t="str">
        <x:v>理论专版</x:v>
      </x:c>
      <x:c r="M60" s="25" t="str">
        <x:v>适合现实路径部分</x:v>
      </x:c>
      <x:c r="N60" s="25" t="str">
        <x:v>一级权威</x:v>
      </x:c>
      <x:c r="O60" s="26" t="str">
        <x:v>全文核验</x:v>
      </x:c>
      <x:c r="P60" s="25" t="str">
        <x:v>https://paper.people.com.cn/rmrb/html/2024-08/02/nw.D110000renmrb_20240802_4-09.htm</x:v>
      </x:c>
    </x:row>
    <x:row r="61">
      <x:c r="A61" s="21" t="n">
        <x:v>60</x:v>
      </x:c>
      <x:c r="B61" s="25" t="str">
        <x:v>曲晓霜</x:v>
      </x:c>
      <x:c r="C61" s="25" t="str">
        <x:v>从中华文化基因把握党的自我革命</x:v>
      </x:c>
      <x:c r="D61" s="25" t="str">
        <x:v>人民日报</x:v>
      </x:c>
      <x:c r="E61" s="26" t="str">
        <x:v>2024</x:v>
      </x:c>
      <x:c r="F61" s="26" t="str">
        <x:v>08-01</x:v>
      </x:c>
      <x:c r="G61" s="26" t="str">
        <x:v>第09版</x:v>
      </x:c>
      <x:c r="H61" s="26" t="str">
        <x:v>权威报纸</x:v>
      </x:c>
      <x:c r="I61" s="25" t="str">
        <x:v>第二个结合</x:v>
      </x:c>
      <x:c r="J61" s="25" t="str">
        <x:v>从革故鼎新等文化基因解释自我革命</x:v>
      </x:c>
      <x:c r="K61" s="25" t="str">
        <x:v>文化阐释</x:v>
      </x:c>
      <x:c r="L61" s="25" t="str">
        <x:v>第二个结合</x:v>
      </x:c>
      <x:c r="M61" s="25" t="str">
        <x:v>与传统体用观研究可形成直接对话</x:v>
      </x:c>
      <x:c r="N61" s="25" t="str">
        <x:v>高度相关</x:v>
      </x:c>
      <x:c r="O61" s="26" t="str">
        <x:v>全文核验</x:v>
      </x:c>
      <x:c r="P61" s="25" t="str">
        <x:v>https://paper.people.com.cn/rmrb/html/2024-08/01/nw.D110000renmrb_20240801_4-09.htm</x:v>
      </x:c>
    </x:row>
    <x:row r="62">
      <x:c r="A62" s="21" t="n">
        <x:v>61</x:v>
      </x:c>
      <x:c r="B62" s="25" t="str">
        <x:v>詹成付</x:v>
      </x:c>
      <x:c r="C62" s="25" t="str">
        <x:v>深入学习贯彻习近平总书记关于党的建设的重要思想</x:v>
      </x:c>
      <x:c r="D62" s="25" t="str">
        <x:v>光明日报</x:v>
      </x:c>
      <x:c r="E62" s="26" t="str">
        <x:v>2023</x:v>
      </x:c>
      <x:c r="F62" s="26" t="str">
        <x:v>08-25</x:v>
      </x:c>
      <x:c r="G62" s="26" t="str"/>
      <x:c r="H62" s="26" t="str">
        <x:v>权威报纸</x:v>
      </x:c>
      <x:c r="I62" s="25" t="str">
        <x:v>权威总论</x:v>
      </x:c>
      <x:c r="J62" s="25" t="str">
        <x:v>系统解释十三个坚持及实践要求</x:v>
      </x:c>
      <x:c r="K62" s="25" t="str">
        <x:v>权威阐释</x:v>
      </x:c>
      <x:c r="L62" s="25" t="str">
        <x:v>理论文章</x:v>
      </x:c>
      <x:c r="M62" s="25" t="str">
        <x:v>用于概念正式提出后的初始阐释</x:v>
      </x:c>
      <x:c r="N62" s="25" t="str">
        <x:v>一级权威</x:v>
      </x:c>
      <x:c r="O62" s="26" t="str">
        <x:v>题录核验</x:v>
      </x:c>
      <x:c r="P62" s="25" t="str">
        <x:v>https://gcys.cbpt.cnki.net/portal/journal/portal/client/paper/26324328521d222080dc8a2a1e3c8e89</x:v>
      </x:c>
    </x:row>
    <x:row r="63">
      <x:c r="A63" s="21" t="n">
        <x:v>62</x:v>
      </x:c>
      <x:c r="B63" s="25" t="str">
        <x:v>李智勇</x:v>
      </x:c>
      <x:c r="C63" s="25" t="str">
        <x:v>全面推进新时代党的建设新的伟大工程的科学指引——深入学习贯彻习近平总书记关于党的建设的重要思想</x:v>
      </x:c>
      <x:c r="D63" s="25" t="str">
        <x:v>学习时报</x:v>
      </x:c>
      <x:c r="E63" s="26" t="str">
        <x:v>2023</x:v>
      </x:c>
      <x:c r="F63" s="26" t="str">
        <x:v>07-03</x:v>
      </x:c>
      <x:c r="G63" s="26" t="str"/>
      <x:c r="H63" s="26" t="str">
        <x:v>权威报纸</x:v>
      </x:c>
      <x:c r="I63" s="25" t="str">
        <x:v>权威总论</x:v>
      </x:c>
      <x:c r="J63" s="25" t="str">
        <x:v>解释党的建设重要思想的体系与实践指向</x:v>
      </x:c>
      <x:c r="K63" s="25" t="str">
        <x:v>权威阐释</x:v>
      </x:c>
      <x:c r="L63" s="25" t="str">
        <x:v>理论文章</x:v>
      </x:c>
      <x:c r="M63" s="25" t="str">
        <x:v>可作为党校系统权威口径</x:v>
      </x:c>
      <x:c r="N63" s="25" t="str">
        <x:v>一级权威</x:v>
      </x:c>
      <x:c r="O63" s="26" t="str">
        <x:v>题录核验</x:v>
      </x:c>
      <x:c r="P63" s="25" t="str">
        <x:v>https://gcys.cbpt.cnki.net/portal/journal/portal/client/paper/26324328521d222080dc8a2a1e3c8e89</x:v>
      </x:c>
    </x:row>
    <x:row r="64">
      <x:c r="A64" s="21" t="n">
        <x:v>63</x:v>
      </x:c>
      <x:c r="B64" s="25" t="str">
        <x:v>王宇燕</x:v>
      </x:c>
      <x:c r="C64" s="25" t="str">
        <x:v>习近平总书记关于党的建设的重要思想的科学内涵和实践要求</x:v>
      </x:c>
      <x:c r="D64" s="25" t="str">
        <x:v>学习时报</x:v>
      </x:c>
      <x:c r="E64" s="26" t="str">
        <x:v>2023</x:v>
      </x:c>
      <x:c r="F64" s="26" t="str">
        <x:v>08-09</x:v>
      </x:c>
      <x:c r="G64" s="26" t="str"/>
      <x:c r="H64" s="26" t="str">
        <x:v>权威报纸</x:v>
      </x:c>
      <x:c r="I64" s="25" t="str">
        <x:v>科学内涵</x:v>
      </x:c>
      <x:c r="J64" s="25" t="str">
        <x:v>逐层解释科学内涵和实践要求</x:v>
      </x:c>
      <x:c r="K64" s="25" t="str">
        <x:v>权威阐释</x:v>
      </x:c>
      <x:c r="L64" s="25" t="str">
        <x:v>理论文章</x:v>
      </x:c>
      <x:c r="M64" s="25" t="str">
        <x:v>适合核对十三个坚持的原始结构</x:v>
      </x:c>
      <x:c r="N64" s="25" t="str">
        <x:v>一级权威</x:v>
      </x:c>
      <x:c r="O64" s="26" t="str">
        <x:v>题录核验</x:v>
      </x:c>
      <x:c r="P64" s="25" t="str">
        <x:v>https://gcys.cbpt.cnki.net/portal/journal/portal/client/paper/26324328521d222080dc8a2a1e3c8e89</x:v>
      </x:c>
    </x:row>
    <x:row r="65">
      <x:c r="A65" s="21" t="n">
        <x:v>64</x:v>
      </x:c>
      <x:c r="B65" s="25" t="str">
        <x:v>学习时报编辑部</x:v>
      </x:c>
      <x:c r="C65" s="25" t="str">
        <x:v>深学笃行习近平总书记关于党的建设的重要思想</x:v>
      </x:c>
      <x:c r="D65" s="25" t="str">
        <x:v>学习时报</x:v>
      </x:c>
      <x:c r="E65" s="26" t="str">
        <x:v>2023</x:v>
      </x:c>
      <x:c r="F65" s="26" t="str">
        <x:v>11-27</x:v>
      </x:c>
      <x:c r="G65" s="26" t="str"/>
      <x:c r="H65" s="26" t="str">
        <x:v>权威报纸</x:v>
      </x:c>
      <x:c r="I65" s="25" t="str">
        <x:v>学习贯彻</x:v>
      </x:c>
      <x:c r="J65" s="25" t="str">
        <x:v>强调从认识到行动的转化</x:v>
      </x:c>
      <x:c r="K65" s="25" t="str">
        <x:v>理论实践统一</x:v>
      </x:c>
      <x:c r="L65" s="25" t="str">
        <x:v>评论</x:v>
      </x:c>
      <x:c r="M65" s="25" t="str">
        <x:v>可用于实践指向</x:v>
      </x:c>
      <x:c r="N65" s="25" t="str">
        <x:v>权威补充</x:v>
      </x:c>
      <x:c r="O65" s="26" t="str">
        <x:v>题录核验</x:v>
      </x:c>
      <x:c r="P65" s="25" t="str">
        <x:v>https://gcys.cbpt.cnki.net/portal/journal/portal/client/paper/26324328521d222080dc8a2a1e3c8e89</x:v>
      </x:c>
    </x:row>
    <x:row r="66">
      <x:c r="A66" s="21" t="n">
        <x:v>65</x:v>
      </x:c>
      <x:c r="B66" s="25" t="str">
        <x:v>待核</x:v>
      </x:c>
      <x:c r="C66" s="25" t="str">
        <x:v>【检索位】十四个坚持的总分结构与逻辑主线</x:v>
      </x:c>
      <x:c r="D66" s="25" t="str">
        <x:v>马克思主义研究</x:v>
      </x:c>
      <x:c r="E66" s="26" t="n">
        <x:v>2020</x:v>
      </x:c>
      <x:c r="F66" s="26" t="str">
        <x:v>待核</x:v>
      </x:c>
      <x:c r="G66" s="26" t="str">
        <x:v>待核</x:v>
      </x:c>
      <x:c r="H66" s="26" t="str">
        <x:v>待核：不得计入C刊统计</x:v>
      </x:c>
      <x:c r="I66" s="25" t="str">
        <x:v>体系建构</x:v>
      </x:c>
      <x:c r="J66" s="25" t="str">
        <x:v>十四个坚持的总分结构与逻辑主线</x:v>
      </x:c>
      <x:c r="K66" s="25" t="str">
        <x:v>围绕核心关系形成判断</x:v>
      </x:c>
      <x:c r="L66" s="25" t="str">
        <x:v>专题检索/文本分析</x:v>
      </x:c>
      <x:c r="M66" s="25" t="str">
        <x:v>该行是待补全文的检索位，不是已确认题录</x:v>
      </x:c>
      <x:c r="N66" s="25" t="str">
        <x:v>待核候选</x:v>
      </x:c>
      <x:c r="O66" s="26" t="str">
        <x:v>待题录与全文核验</x:v>
      </x:c>
      <x:c r="P66" s="25" t="str"/>
    </x:row>
    <x:row r="67">
      <x:c r="A67" s="21" t="n">
        <x:v>66</x:v>
      </x:c>
      <x:c r="B67" s="25" t="str">
        <x:v>待核</x:v>
      </x:c>
      <x:c r="C67" s="25" t="str">
        <x:v>【检索位】马克思主义建党学说的继承发展</x:v>
      </x:c>
      <x:c r="D67" s="25" t="str">
        <x:v>教学与研究</x:v>
      </x:c>
      <x:c r="E67" s="26" t="n">
        <x:v>2021</x:v>
      </x:c>
      <x:c r="F67" s="26" t="str">
        <x:v>待核</x:v>
      </x:c>
      <x:c r="G67" s="26" t="str">
        <x:v>待核</x:v>
      </x:c>
      <x:c r="H67" s="26" t="str">
        <x:v>待核：不得计入C刊统计</x:v>
      </x:c>
      <x:c r="I67" s="25" t="str">
        <x:v>理论基础</x:v>
      </x:c>
      <x:c r="J67" s="25" t="str">
        <x:v>马克思主义建党学说的继承发展</x:v>
      </x:c>
      <x:c r="K67" s="25" t="str">
        <x:v>围绕核心关系形成判断</x:v>
      </x:c>
      <x:c r="L67" s="25" t="str">
        <x:v>专题检索/文本分析</x:v>
      </x:c>
      <x:c r="M67" s="25" t="str">
        <x:v>该行是待补全文的检索位，不是已确认题录</x:v>
      </x:c>
      <x:c r="N67" s="25" t="str">
        <x:v>待核候选</x:v>
      </x:c>
      <x:c r="O67" s="26" t="str">
        <x:v>待题录与全文核验</x:v>
      </x:c>
      <x:c r="P67" s="25" t="str"/>
    </x:row>
    <x:row r="68">
      <x:c r="A68" s="21" t="n">
        <x:v>67</x:v>
      </x:c>
      <x:c r="B68" s="25" t="str">
        <x:v>待核</x:v>
      </x:c>
      <x:c r="C68" s="25" t="str">
        <x:v>【检索位】中华优秀传统文化的创造性转化</x:v>
      </x:c>
      <x:c r="D68" s="25" t="str">
        <x:v>思想理论教育导刊</x:v>
      </x:c>
      <x:c r="E68" s="26" t="n">
        <x:v>2022</x:v>
      </x:c>
      <x:c r="F68" s="26" t="str">
        <x:v>待核</x:v>
      </x:c>
      <x:c r="G68" s="26" t="str">
        <x:v>待核</x:v>
      </x:c>
      <x:c r="H68" s="26" t="str">
        <x:v>待核：不得计入C刊统计</x:v>
      </x:c>
      <x:c r="I68" s="25" t="str">
        <x:v>第二个结合</x:v>
      </x:c>
      <x:c r="J68" s="25" t="str">
        <x:v>中华优秀传统文化的创造性转化</x:v>
      </x:c>
      <x:c r="K68" s="25" t="str">
        <x:v>围绕核心关系形成判断</x:v>
      </x:c>
      <x:c r="L68" s="25" t="str">
        <x:v>专题检索/文本分析</x:v>
      </x:c>
      <x:c r="M68" s="25" t="str">
        <x:v>该行是待补全文的检索位，不是已确认题录</x:v>
      </x:c>
      <x:c r="N68" s="25" t="str">
        <x:v>待核候选</x:v>
      </x:c>
      <x:c r="O68" s="26" t="str">
        <x:v>待题录与全文核验</x:v>
      </x:c>
      <x:c r="P68" s="25" t="str"/>
    </x:row>
    <x:row r="69">
      <x:c r="A69" s="21" t="n">
        <x:v>68</x:v>
      </x:c>
      <x:c r="B69" s="25" t="str">
        <x:v>待核</x:v>
      </x:c>
      <x:c r="C69" s="25" t="str">
        <x:v>【检索位】明体达用、体用贯通的哲学表达</x:v>
      </x:c>
      <x:c r="D69" s="25" t="str">
        <x:v>马克思主义理论学科研究</x:v>
      </x:c>
      <x:c r="E69" s="26" t="n">
        <x:v>2023</x:v>
      </x:c>
      <x:c r="F69" s="26" t="str">
        <x:v>待核</x:v>
      </x:c>
      <x:c r="G69" s="26" t="str">
        <x:v>待核</x:v>
      </x:c>
      <x:c r="H69" s="26" t="str">
        <x:v>待核：不得计入C刊统计</x:v>
      </x:c>
      <x:c r="I69" s="25" t="str">
        <x:v>体用关系</x:v>
      </x:c>
      <x:c r="J69" s="25" t="str">
        <x:v>明体达用、体用贯通的哲学表达</x:v>
      </x:c>
      <x:c r="K69" s="25" t="str">
        <x:v>围绕核心关系形成判断</x:v>
      </x:c>
      <x:c r="L69" s="25" t="str">
        <x:v>专题检索/文本分析</x:v>
      </x:c>
      <x:c r="M69" s="25" t="str">
        <x:v>该行是待补全文的检索位，不是已确认题录</x:v>
      </x:c>
      <x:c r="N69" s="25" t="str">
        <x:v>待核候选</x:v>
      </x:c>
      <x:c r="O69" s="26" t="str">
        <x:v>待题录与全文核验</x:v>
      </x:c>
      <x:c r="P69" s="25" t="str"/>
    </x:row>
    <x:row r="70">
      <x:c r="A70" s="21" t="n">
        <x:v>69</x:v>
      </x:c>
      <x:c r="B70" s="25" t="str">
        <x:v>待核</x:v>
      </x:c>
      <x:c r="C70" s="25" t="str">
        <x:v>【检索位】中国特色社会主义最本质特征</x:v>
      </x:c>
      <x:c r="D70" s="25" t="str">
        <x:v>中国特色社会主义研究</x:v>
      </x:c>
      <x:c r="E70" s="26" t="n">
        <x:v>2024</x:v>
      </x:c>
      <x:c r="F70" s="26" t="str">
        <x:v>待核</x:v>
      </x:c>
      <x:c r="G70" s="26" t="str">
        <x:v>待核</x:v>
      </x:c>
      <x:c r="H70" s="26" t="str">
        <x:v>待核：不得计入C刊统计</x:v>
      </x:c>
      <x:c r="I70" s="25" t="str">
        <x:v>党的领导</x:v>
      </x:c>
      <x:c r="J70" s="25" t="str">
        <x:v>中国特色社会主义最本质特征</x:v>
      </x:c>
      <x:c r="K70" s="25" t="str">
        <x:v>围绕核心关系形成判断</x:v>
      </x:c>
      <x:c r="L70" s="25" t="str">
        <x:v>专题检索/文本分析</x:v>
      </x:c>
      <x:c r="M70" s="25" t="str">
        <x:v>该行是待补全文的检索位，不是已确认题录</x:v>
      </x:c>
      <x:c r="N70" s="25" t="str">
        <x:v>待核候选</x:v>
      </x:c>
      <x:c r="O70" s="26" t="str">
        <x:v>待题录与全文核验</x:v>
      </x:c>
      <x:c r="P70" s="25" t="str"/>
    </x:row>
    <x:row r="71">
      <x:c r="A71" s="21" t="n">
        <x:v>70</x:v>
      </x:c>
      <x:c r="B71" s="25" t="str">
        <x:v>待核</x:v>
      </x:c>
      <x:c r="C71" s="25" t="str">
        <x:v>【检索位】最高政治原则的制度展开</x:v>
      </x:c>
      <x:c r="D71" s="25" t="str">
        <x:v>中共党史研究</x:v>
      </x:c>
      <x:c r="E71" s="26" t="n">
        <x:v>2025</x:v>
      </x:c>
      <x:c r="F71" s="26" t="str">
        <x:v>待核</x:v>
      </x:c>
      <x:c r="G71" s="26" t="str">
        <x:v>待核</x:v>
      </x:c>
      <x:c r="H71" s="26" t="str">
        <x:v>待核：不得计入C刊统计</x:v>
      </x:c>
      <x:c r="I71" s="25" t="str">
        <x:v>集中统一领导</x:v>
      </x:c>
      <x:c r="J71" s="25" t="str">
        <x:v>最高政治原则的制度展开</x:v>
      </x:c>
      <x:c r="K71" s="25" t="str">
        <x:v>围绕核心关系形成判断</x:v>
      </x:c>
      <x:c r="L71" s="25" t="str">
        <x:v>专题检索/文本分析</x:v>
      </x:c>
      <x:c r="M71" s="25" t="str">
        <x:v>该行是待补全文的检索位，不是已确认题录</x:v>
      </x:c>
      <x:c r="N71" s="25" t="str">
        <x:v>待核候选</x:v>
      </x:c>
      <x:c r="O71" s="26" t="str">
        <x:v>待题录与全文核验</x:v>
      </x:c>
      <x:c r="P71" s="25" t="str"/>
    </x:row>
    <x:row r="72">
      <x:c r="A72" s="21" t="n">
        <x:v>71</x:v>
      </x:c>
      <x:c r="B72" s="25" t="str">
        <x:v>待核</x:v>
      </x:c>
      <x:c r="C72" s="25" t="str">
        <x:v>【检索位】战略方针与体系化治理</x:v>
      </x:c>
      <x:c r="D72" s="25" t="str">
        <x:v>党的文献</x:v>
      </x:c>
      <x:c r="E72" s="26" t="n">
        <x:v>2026</x:v>
      </x:c>
      <x:c r="F72" s="26" t="str">
        <x:v>待核</x:v>
      </x:c>
      <x:c r="G72" s="26" t="str">
        <x:v>待核</x:v>
      </x:c>
      <x:c r="H72" s="26" t="str">
        <x:v>待核：不得计入C刊统计</x:v>
      </x:c>
      <x:c r="I72" s="25" t="str">
        <x:v>全面从严治党</x:v>
      </x:c>
      <x:c r="J72" s="25" t="str">
        <x:v>战略方针与体系化治理</x:v>
      </x:c>
      <x:c r="K72" s="25" t="str">
        <x:v>围绕核心关系形成判断</x:v>
      </x:c>
      <x:c r="L72" s="25" t="str">
        <x:v>专题检索/文本分析</x:v>
      </x:c>
      <x:c r="M72" s="25" t="str">
        <x:v>该行是待补全文的检索位，不是已确认题录</x:v>
      </x:c>
      <x:c r="N72" s="25" t="str">
        <x:v>待核候选</x:v>
      </x:c>
      <x:c r="O72" s="26" t="str">
        <x:v>待题录与全文核验</x:v>
      </x:c>
      <x:c r="P72" s="25" t="str"/>
    </x:row>
    <x:row r="73">
      <x:c r="A73" s="21" t="n">
        <x:v>72</x:v>
      </x:c>
      <x:c r="B73" s="25" t="str">
        <x:v>待核</x:v>
      </x:c>
      <x:c r="C73" s="25" t="str">
        <x:v>【检索位】价值立场与长期执政</x:v>
      </x:c>
      <x:c r="D73" s="25" t="str">
        <x:v>理论视野</x:v>
      </x:c>
      <x:c r="E73" s="26" t="n">
        <x:v>2020</x:v>
      </x:c>
      <x:c r="F73" s="26" t="str">
        <x:v>待核</x:v>
      </x:c>
      <x:c r="G73" s="26" t="str">
        <x:v>待核</x:v>
      </x:c>
      <x:c r="H73" s="26" t="str">
        <x:v>待核：不得计入C刊统计</x:v>
      </x:c>
      <x:c r="I73" s="25" t="str">
        <x:v>初心使命</x:v>
      </x:c>
      <x:c r="J73" s="25" t="str">
        <x:v>价值立场与长期执政</x:v>
      </x:c>
      <x:c r="K73" s="25" t="str">
        <x:v>围绕核心关系形成判断</x:v>
      </x:c>
      <x:c r="L73" s="25" t="str">
        <x:v>专题检索/文本分析</x:v>
      </x:c>
      <x:c r="M73" s="25" t="str">
        <x:v>该行是待补全文的检索位，不是已确认题录</x:v>
      </x:c>
      <x:c r="N73" s="25" t="str">
        <x:v>待核候选</x:v>
      </x:c>
      <x:c r="O73" s="26" t="str">
        <x:v>待题录与全文核验</x:v>
      </x:c>
      <x:c r="P73" s="25" t="str"/>
    </x:row>
    <x:row r="74">
      <x:c r="A74" s="21" t="n">
        <x:v>73</x:v>
      </x:c>
      <x:c r="B74" s="25" t="str">
        <x:v>待核</x:v>
      </x:c>
      <x:c r="C74" s="25" t="str">
        <x:v>【检索位】统领地位及其关系结构</x:v>
      </x:c>
      <x:c r="D74" s="25" t="str">
        <x:v>党政研究</x:v>
      </x:c>
      <x:c r="E74" s="26" t="n">
        <x:v>2021</x:v>
      </x:c>
      <x:c r="F74" s="26" t="str">
        <x:v>待核</x:v>
      </x:c>
      <x:c r="G74" s="26" t="str">
        <x:v>待核</x:v>
      </x:c>
      <x:c r="H74" s="26" t="str">
        <x:v>待核：不得计入C刊统计</x:v>
      </x:c>
      <x:c r="I74" s="25" t="str">
        <x:v>政治建设</x:v>
      </x:c>
      <x:c r="J74" s="25" t="str">
        <x:v>统领地位及其关系结构</x:v>
      </x:c>
      <x:c r="K74" s="25" t="str">
        <x:v>围绕核心关系形成判断</x:v>
      </x:c>
      <x:c r="L74" s="25" t="str">
        <x:v>专题检索/文本分析</x:v>
      </x:c>
      <x:c r="M74" s="25" t="str">
        <x:v>该行是待补全文的检索位，不是已确认题录</x:v>
      </x:c>
      <x:c r="N74" s="25" t="str">
        <x:v>待核候选</x:v>
      </x:c>
      <x:c r="O74" s="26" t="str">
        <x:v>待题录与全文核验</x:v>
      </x:c>
      <x:c r="P74" s="25" t="str"/>
    </x:row>
    <x:row r="75">
      <x:c r="A75" s="21" t="n">
        <x:v>74</x:v>
      </x:c>
      <x:c r="B75" s="25" t="str">
        <x:v>待核</x:v>
      </x:c>
      <x:c r="C75" s="25" t="str">
        <x:v>【检索位】凝心铸魂的认识论基础</x:v>
      </x:c>
      <x:c r="D75" s="25" t="str">
        <x:v>理论探讨</x:v>
      </x:c>
      <x:c r="E75" s="26" t="n">
        <x:v>2022</x:v>
      </x:c>
      <x:c r="F75" s="26" t="str">
        <x:v>待核</x:v>
      </x:c>
      <x:c r="G75" s="26" t="str">
        <x:v>待核</x:v>
      </x:c>
      <x:c r="H75" s="26" t="str">
        <x:v>待核：不得计入C刊统计</x:v>
      </x:c>
      <x:c r="I75" s="25" t="str">
        <x:v>理论武装</x:v>
      </x:c>
      <x:c r="J75" s="25" t="str">
        <x:v>凝心铸魂的认识论基础</x:v>
      </x:c>
      <x:c r="K75" s="25" t="str">
        <x:v>围绕核心关系形成判断</x:v>
      </x:c>
      <x:c r="L75" s="25" t="str">
        <x:v>专题检索/文本分析</x:v>
      </x:c>
      <x:c r="M75" s="25" t="str">
        <x:v>该行是待补全文的检索位，不是已确认题录</x:v>
      </x:c>
      <x:c r="N75" s="25" t="str">
        <x:v>待核候选</x:v>
      </x:c>
      <x:c r="O75" s="26" t="str">
        <x:v>待题录与全文核验</x:v>
      </x:c>
      <x:c r="P75" s="25" t="str"/>
    </x:row>
    <x:row r="76">
      <x:c r="A76" s="21" t="n">
        <x:v>75</x:v>
      </x:c>
      <x:c r="B76" s="25" t="str">
        <x:v>待核</x:v>
      </x:c>
      <x:c r="C76" s="25" t="str">
        <x:v>【检索位】党性修养与主体锻造</x:v>
      </x:c>
      <x:c r="D76" s="25" t="str">
        <x:v>理论导刊</x:v>
      </x:c>
      <x:c r="E76" s="26" t="n">
        <x:v>2023</x:v>
      </x:c>
      <x:c r="F76" s="26" t="str">
        <x:v>待核</x:v>
      </x:c>
      <x:c r="G76" s="26" t="str">
        <x:v>待核</x:v>
      </x:c>
      <x:c r="H76" s="26" t="str">
        <x:v>待核：不得计入C刊统计</x:v>
      </x:c>
      <x:c r="I76" s="25" t="str">
        <x:v>党性教育</x:v>
      </x:c>
      <x:c r="J76" s="25" t="str">
        <x:v>党性修养与主体锻造</x:v>
      </x:c>
      <x:c r="K76" s="25" t="str">
        <x:v>围绕核心关系形成判断</x:v>
      </x:c>
      <x:c r="L76" s="25" t="str">
        <x:v>专题检索/文本分析</x:v>
      </x:c>
      <x:c r="M76" s="25" t="str">
        <x:v>该行是待补全文的检索位，不是已确认题录</x:v>
      </x:c>
      <x:c r="N76" s="25" t="str">
        <x:v>待核候选</x:v>
      </x:c>
      <x:c r="O76" s="26" t="str">
        <x:v>待题录与全文核验</x:v>
      </x:c>
      <x:c r="P76" s="25" t="str"/>
    </x:row>
    <x:row r="77">
      <x:c r="A77" s="21" t="n">
        <x:v>76</x:v>
      </x:c>
      <x:c r="B77" s="25" t="str">
        <x:v>待核</x:v>
      </x:c>
      <x:c r="C77" s="25" t="str">
        <x:v>【检索位】上下贯通、执行有力</x:v>
      </x:c>
      <x:c r="D77" s="25" t="str">
        <x:v>学习与实践</x:v>
      </x:c>
      <x:c r="E77" s="26" t="n">
        <x:v>2024</x:v>
      </x:c>
      <x:c r="F77" s="26" t="str">
        <x:v>待核</x:v>
      </x:c>
      <x:c r="G77" s="26" t="str">
        <x:v>待核</x:v>
      </x:c>
      <x:c r="H77" s="26" t="str">
        <x:v>待核：不得计入C刊统计</x:v>
      </x:c>
      <x:c r="I77" s="25" t="str">
        <x:v>组织体系</x:v>
      </x:c>
      <x:c r="J77" s="25" t="str">
        <x:v>上下贯通、执行有力</x:v>
      </x:c>
      <x:c r="K77" s="25" t="str">
        <x:v>围绕核心关系形成判断</x:v>
      </x:c>
      <x:c r="L77" s="25" t="str">
        <x:v>专题检索/文本分析</x:v>
      </x:c>
      <x:c r="M77" s="25" t="str">
        <x:v>该行是待补全文的检索位，不是已确认题录</x:v>
      </x:c>
      <x:c r="N77" s="25" t="str">
        <x:v>待核候选</x:v>
      </x:c>
      <x:c r="O77" s="26" t="str">
        <x:v>待题录与全文核验</x:v>
      </x:c>
      <x:c r="P77" s="25" t="str"/>
    </x:row>
    <x:row r="78">
      <x:c r="A78" s="21" t="n">
        <x:v>77</x:v>
      </x:c>
      <x:c r="B78" s="25" t="str">
        <x:v>待核</x:v>
      </x:c>
      <x:c r="C78" s="25" t="str">
        <x:v>【检索位】选贤任能与政绩观</x:v>
      </x:c>
      <x:c r="D78" s="25" t="str">
        <x:v>探索</x:v>
      </x:c>
      <x:c r="E78" s="26" t="n">
        <x:v>2025</x:v>
      </x:c>
      <x:c r="F78" s="26" t="str">
        <x:v>待核</x:v>
      </x:c>
      <x:c r="G78" s="26" t="str">
        <x:v>待核</x:v>
      </x:c>
      <x:c r="H78" s="26" t="str">
        <x:v>待核：不得计入C刊统计</x:v>
      </x:c>
      <x:c r="I78" s="25" t="str">
        <x:v>干部队伍</x:v>
      </x:c>
      <x:c r="J78" s="25" t="str">
        <x:v>选贤任能与政绩观</x:v>
      </x:c>
      <x:c r="K78" s="25" t="str">
        <x:v>围绕核心关系形成判断</x:v>
      </x:c>
      <x:c r="L78" s="25" t="str">
        <x:v>专题检索/文本分析</x:v>
      </x:c>
      <x:c r="M78" s="25" t="str">
        <x:v>该行是待补全文的检索位，不是已确认题录</x:v>
      </x:c>
      <x:c r="N78" s="25" t="str">
        <x:v>待核候选</x:v>
      </x:c>
      <x:c r="O78" s="26" t="str">
        <x:v>待题录与全文核验</x:v>
      </x:c>
      <x:c r="P78" s="25" t="str"/>
    </x:row>
    <x:row r="79">
      <x:c r="A79" s="21" t="n">
        <x:v>78</x:v>
      </x:c>
      <x:c r="B79" s="25" t="str">
        <x:v>待核</x:v>
      </x:c>
      <x:c r="C79" s="25" t="str">
        <x:v>【检索位】常态化长效化</x:v>
      </x:c>
      <x:c r="D79" s="25" t="str">
        <x:v>求实</x:v>
      </x:c>
      <x:c r="E79" s="26" t="n">
        <x:v>2026</x:v>
      </x:c>
      <x:c r="F79" s="26" t="str">
        <x:v>待核</x:v>
      </x:c>
      <x:c r="G79" s="26" t="str">
        <x:v>待核</x:v>
      </x:c>
      <x:c r="H79" s="26" t="str">
        <x:v>待核：不得计入C刊统计</x:v>
      </x:c>
      <x:c r="I79" s="25" t="str">
        <x:v>作风建设</x:v>
      </x:c>
      <x:c r="J79" s="25" t="str">
        <x:v>常态化长效化</x:v>
      </x:c>
      <x:c r="K79" s="25" t="str">
        <x:v>围绕核心关系形成判断</x:v>
      </x:c>
      <x:c r="L79" s="25" t="str">
        <x:v>专题检索/文本分析</x:v>
      </x:c>
      <x:c r="M79" s="25" t="str">
        <x:v>该行是待补全文的检索位，不是已确认题录</x:v>
      </x:c>
      <x:c r="N79" s="25" t="str">
        <x:v>待核候选</x:v>
      </x:c>
      <x:c r="O79" s="26" t="str">
        <x:v>待题录与全文核验</x:v>
      </x:c>
      <x:c r="P79" s="25" t="str"/>
    </x:row>
    <x:row r="80">
      <x:c r="A80" s="21" t="n">
        <x:v>79</x:v>
      </x:c>
      <x:c r="B80" s="25" t="str">
        <x:v>待核</x:v>
      </x:c>
      <x:c r="C80" s="25" t="str">
        <x:v>【检索位】严明纪律与行为边界</x:v>
      </x:c>
      <x:c r="D80" s="25" t="str">
        <x:v>湖湘论坛</x:v>
      </x:c>
      <x:c r="E80" s="26" t="n">
        <x:v>2020</x:v>
      </x:c>
      <x:c r="F80" s="26" t="str">
        <x:v>待核</x:v>
      </x:c>
      <x:c r="G80" s="26" t="str">
        <x:v>待核</x:v>
      </x:c>
      <x:c r="H80" s="26" t="str">
        <x:v>待核：不得计入C刊统计</x:v>
      </x:c>
      <x:c r="I80" s="25" t="str">
        <x:v>纪律建设</x:v>
      </x:c>
      <x:c r="J80" s="25" t="str">
        <x:v>严明纪律与行为边界</x:v>
      </x:c>
      <x:c r="K80" s="25" t="str">
        <x:v>围绕核心关系形成判断</x:v>
      </x:c>
      <x:c r="L80" s="25" t="str">
        <x:v>专题检索/文本分析</x:v>
      </x:c>
      <x:c r="M80" s="25" t="str">
        <x:v>该行是待补全文的检索位，不是已确认题录</x:v>
      </x:c>
      <x:c r="N80" s="25" t="str">
        <x:v>待核候选</x:v>
      </x:c>
      <x:c r="O80" s="26" t="str">
        <x:v>待题录与全文核验</x:v>
      </x:c>
      <x:c r="P80" s="25" t="str"/>
    </x:row>
    <x:row r="81">
      <x:c r="A81" s="21" t="n">
        <x:v>80</x:v>
      </x:c>
      <x:c r="B81" s="25" t="str">
        <x:v>待核</x:v>
      </x:c>
      <x:c r="C81" s="25" t="str">
        <x:v>【检索位】三不腐一体推进</x:v>
      </x:c>
      <x:c r="D81" s="25" t="str">
        <x:v>山东社会科学</x:v>
      </x:c>
      <x:c r="E81" s="26" t="n">
        <x:v>2021</x:v>
      </x:c>
      <x:c r="F81" s="26" t="str">
        <x:v>待核</x:v>
      </x:c>
      <x:c r="G81" s="26" t="str">
        <x:v>待核</x:v>
      </x:c>
      <x:c r="H81" s="26" t="str">
        <x:v>待核：不得计入C刊统计</x:v>
      </x:c>
      <x:c r="I81" s="25" t="str">
        <x:v>反腐败</x:v>
      </x:c>
      <x:c r="J81" s="25" t="str">
        <x:v>三不腐一体推进</x:v>
      </x:c>
      <x:c r="K81" s="25" t="str">
        <x:v>围绕核心关系形成判断</x:v>
      </x:c>
      <x:c r="L81" s="25" t="str">
        <x:v>专题检索/文本分析</x:v>
      </x:c>
      <x:c r="M81" s="25" t="str">
        <x:v>该行是待补全文的检索位，不是已确认题录</x:v>
      </x:c>
      <x:c r="N81" s="25" t="str">
        <x:v>待核候选</x:v>
      </x:c>
      <x:c r="O81" s="26" t="str">
        <x:v>待题录与全文核验</x:v>
      </x:c>
      <x:c r="P81" s="25" t="str"/>
    </x:row>
    <x:row r="82">
      <x:c r="A82" s="21" t="n">
        <x:v>81</x:v>
      </x:c>
      <x:c r="B82" s="25" t="str">
        <x:v>待核</x:v>
      </x:c>
      <x:c r="C82" s="25" t="str">
        <x:v>【检索位】依规治党及制度执行</x:v>
      </x:c>
      <x:c r="D82" s="25" t="str">
        <x:v>社会科学战线</x:v>
      </x:c>
      <x:c r="E82" s="26" t="n">
        <x:v>2022</x:v>
      </x:c>
      <x:c r="F82" s="26" t="str">
        <x:v>待核</x:v>
      </x:c>
      <x:c r="G82" s="26" t="str">
        <x:v>待核</x:v>
      </x:c>
      <x:c r="H82" s="26" t="str">
        <x:v>待核：不得计入C刊统计</x:v>
      </x:c>
      <x:c r="I82" s="25" t="str">
        <x:v>制度治党</x:v>
      </x:c>
      <x:c r="J82" s="25" t="str">
        <x:v>依规治党及制度执行</x:v>
      </x:c>
      <x:c r="K82" s="25" t="str">
        <x:v>围绕核心关系形成判断</x:v>
      </x:c>
      <x:c r="L82" s="25" t="str">
        <x:v>专题检索/文本分析</x:v>
      </x:c>
      <x:c r="M82" s="25" t="str">
        <x:v>该行是待补全文的检索位，不是已确认题录</x:v>
      </x:c>
      <x:c r="N82" s="25" t="str">
        <x:v>待核候选</x:v>
      </x:c>
      <x:c r="O82" s="26" t="str">
        <x:v>待题录与全文核验</x:v>
      </x:c>
      <x:c r="P82" s="25" t="str"/>
    </x:row>
    <x:row r="83">
      <x:c r="A83" s="21" t="n">
        <x:v>82</x:v>
      </x:c>
      <x:c r="B83" s="25" t="str">
        <x:v>待核</x:v>
      </x:c>
      <x:c r="C83" s="25" t="str">
        <x:v>【检索位】责任链条与问责机制</x:v>
      </x:c>
      <x:c r="D83" s="25" t="str">
        <x:v>浙江社会科学</x:v>
      </x:c>
      <x:c r="E83" s="26" t="n">
        <x:v>2023</x:v>
      </x:c>
      <x:c r="F83" s="26" t="str">
        <x:v>待核</x:v>
      </x:c>
      <x:c r="G83" s="26" t="str">
        <x:v>待核</x:v>
      </x:c>
      <x:c r="H83" s="26" t="str">
        <x:v>待核：不得计入C刊统计</x:v>
      </x:c>
      <x:c r="I83" s="25" t="str">
        <x:v>政治责任</x:v>
      </x:c>
      <x:c r="J83" s="25" t="str">
        <x:v>责任链条与问责机制</x:v>
      </x:c>
      <x:c r="K83" s="25" t="str">
        <x:v>围绕核心关系形成判断</x:v>
      </x:c>
      <x:c r="L83" s="25" t="str">
        <x:v>专题检索/文本分析</x:v>
      </x:c>
      <x:c r="M83" s="25" t="str">
        <x:v>该行是待补全文的检索位，不是已确认题录</x:v>
      </x:c>
      <x:c r="N83" s="25" t="str">
        <x:v>待核候选</x:v>
      </x:c>
      <x:c r="O83" s="26" t="str">
        <x:v>待题录与全文核验</x:v>
      </x:c>
      <x:c r="P83" s="25" t="str"/>
    </x:row>
    <x:row r="84">
      <x:c r="A84" s="21" t="n">
        <x:v>83</x:v>
      </x:c>
      <x:c r="B84" s="25" t="str">
        <x:v>待核</x:v>
      </x:c>
      <x:c r="C84" s="25" t="str">
        <x:v>【检索位】跳出历史周期率第二个答案</x:v>
      </x:c>
      <x:c r="D84" s="25" t="str">
        <x:v>江汉论坛</x:v>
      </x:c>
      <x:c r="E84" s="26" t="n">
        <x:v>2024</x:v>
      </x:c>
      <x:c r="F84" s="26" t="str">
        <x:v>待核</x:v>
      </x:c>
      <x:c r="G84" s="26" t="str">
        <x:v>待核</x:v>
      </x:c>
      <x:c r="H84" s="26" t="str">
        <x:v>待核：不得计入C刊统计</x:v>
      </x:c>
      <x:c r="I84" s="25" t="str">
        <x:v>自我革命</x:v>
      </x:c>
      <x:c r="J84" s="25" t="str">
        <x:v>跳出历史周期率第二个答案</x:v>
      </x:c>
      <x:c r="K84" s="25" t="str">
        <x:v>围绕核心关系形成判断</x:v>
      </x:c>
      <x:c r="L84" s="25" t="str">
        <x:v>专题检索/文本分析</x:v>
      </x:c>
      <x:c r="M84" s="25" t="str">
        <x:v>该行是待补全文的检索位，不是已确认题录</x:v>
      </x:c>
      <x:c r="N84" s="25" t="str">
        <x:v>待核候选</x:v>
      </x:c>
      <x:c r="O84" s="26" t="str">
        <x:v>待题录与全文核验</x:v>
      </x:c>
      <x:c r="P84" s="25" t="str"/>
    </x:row>
    <x:row r="85">
      <x:c r="A85" s="21" t="n">
        <x:v>84</x:v>
      </x:c>
      <x:c r="B85" s="25" t="str">
        <x:v>待核</x:v>
      </x:c>
      <x:c r="C85" s="25" t="str">
        <x:v>【检索位】六个如何始终的现实回应</x:v>
      </x:c>
      <x:c r="D85" s="25" t="str">
        <x:v>东岳论丛</x:v>
      </x:c>
      <x:c r="E85" s="26" t="n">
        <x:v>2025</x:v>
      </x:c>
      <x:c r="F85" s="26" t="str">
        <x:v>待核</x:v>
      </x:c>
      <x:c r="G85" s="26" t="str">
        <x:v>待核</x:v>
      </x:c>
      <x:c r="H85" s="26" t="str">
        <x:v>待核：不得计入C刊统计</x:v>
      </x:c>
      <x:c r="I85" s="25" t="str">
        <x:v>大党难题</x:v>
      </x:c>
      <x:c r="J85" s="25" t="str">
        <x:v>六个如何始终的现实回应</x:v>
      </x:c>
      <x:c r="K85" s="25" t="str">
        <x:v>围绕核心关系形成判断</x:v>
      </x:c>
      <x:c r="L85" s="25" t="str">
        <x:v>专题检索/文本分析</x:v>
      </x:c>
      <x:c r="M85" s="25" t="str">
        <x:v>该行是待补全文的检索位，不是已确认题录</x:v>
      </x:c>
      <x:c r="N85" s="25" t="str">
        <x:v>待核候选</x:v>
      </x:c>
      <x:c r="O85" s="26" t="str">
        <x:v>待题录与全文核验</x:v>
      </x:c>
      <x:c r="P85" s="25" t="str"/>
    </x:row>
    <x:row r="86">
      <x:c r="A86" s="21" t="n">
        <x:v>85</x:v>
      </x:c>
      <x:c r="B86" s="25" t="str">
        <x:v>待核</x:v>
      </x:c>
      <x:c r="C86" s="25" t="str">
        <x:v>【检索位】十四个坚持的总分结构与逻辑主线</x:v>
      </x:c>
      <x:c r="D86" s="25" t="str">
        <x:v>马克思主义研究</x:v>
      </x:c>
      <x:c r="E86" s="26" t="n">
        <x:v>2026</x:v>
      </x:c>
      <x:c r="F86" s="26" t="str">
        <x:v>待核</x:v>
      </x:c>
      <x:c r="G86" s="26" t="str">
        <x:v>待核</x:v>
      </x:c>
      <x:c r="H86" s="26" t="str">
        <x:v>待核：不得计入C刊统计</x:v>
      </x:c>
      <x:c r="I86" s="25" t="str">
        <x:v>体系建构</x:v>
      </x:c>
      <x:c r="J86" s="25" t="str">
        <x:v>十四个坚持的总分结构与逻辑主线</x:v>
      </x:c>
      <x:c r="K86" s="25" t="str">
        <x:v>围绕核心关系形成判断</x:v>
      </x:c>
      <x:c r="L86" s="25" t="str">
        <x:v>专题检索/文本分析</x:v>
      </x:c>
      <x:c r="M86" s="25" t="str">
        <x:v>该行是待补全文的检索位，不是已确认题录</x:v>
      </x:c>
      <x:c r="N86" s="25" t="str">
        <x:v>待核候选</x:v>
      </x:c>
      <x:c r="O86" s="26" t="str">
        <x:v>待题录与全文核验</x:v>
      </x:c>
      <x:c r="P86" s="25" t="str"/>
    </x:row>
    <x:row r="87">
      <x:c r="A87" s="21" t="n">
        <x:v>86</x:v>
      </x:c>
      <x:c r="B87" s="25" t="str">
        <x:v>待核</x:v>
      </x:c>
      <x:c r="C87" s="25" t="str">
        <x:v>【检索位】马克思主义建党学说的继承发展</x:v>
      </x:c>
      <x:c r="D87" s="25" t="str">
        <x:v>教学与研究</x:v>
      </x:c>
      <x:c r="E87" s="26" t="n">
        <x:v>2020</x:v>
      </x:c>
      <x:c r="F87" s="26" t="str">
        <x:v>待核</x:v>
      </x:c>
      <x:c r="G87" s="26" t="str">
        <x:v>待核</x:v>
      </x:c>
      <x:c r="H87" s="26" t="str">
        <x:v>待核：不得计入C刊统计</x:v>
      </x:c>
      <x:c r="I87" s="25" t="str">
        <x:v>理论基础</x:v>
      </x:c>
      <x:c r="J87" s="25" t="str">
        <x:v>马克思主义建党学说的继承发展</x:v>
      </x:c>
      <x:c r="K87" s="25" t="str">
        <x:v>围绕核心关系形成判断</x:v>
      </x:c>
      <x:c r="L87" s="25" t="str">
        <x:v>专题检索/文本分析</x:v>
      </x:c>
      <x:c r="M87" s="25" t="str">
        <x:v>该行是待补全文的检索位，不是已确认题录</x:v>
      </x:c>
      <x:c r="N87" s="25" t="str">
        <x:v>待核候选</x:v>
      </x:c>
      <x:c r="O87" s="26" t="str">
        <x:v>待题录与全文核验</x:v>
      </x:c>
      <x:c r="P87" s="25" t="str"/>
    </x:row>
    <x:row r="88">
      <x:c r="A88" s="21" t="n">
        <x:v>87</x:v>
      </x:c>
      <x:c r="B88" s="25" t="str">
        <x:v>待核</x:v>
      </x:c>
      <x:c r="C88" s="25" t="str">
        <x:v>【检索位】中华优秀传统文化的创造性转化</x:v>
      </x:c>
      <x:c r="D88" s="25" t="str">
        <x:v>思想理论教育导刊</x:v>
      </x:c>
      <x:c r="E88" s="26" t="n">
        <x:v>2021</x:v>
      </x:c>
      <x:c r="F88" s="26" t="str">
        <x:v>待核</x:v>
      </x:c>
      <x:c r="G88" s="26" t="str">
        <x:v>待核</x:v>
      </x:c>
      <x:c r="H88" s="26" t="str">
        <x:v>待核：不得计入C刊统计</x:v>
      </x:c>
      <x:c r="I88" s="25" t="str">
        <x:v>第二个结合</x:v>
      </x:c>
      <x:c r="J88" s="25" t="str">
        <x:v>中华优秀传统文化的创造性转化</x:v>
      </x:c>
      <x:c r="K88" s="25" t="str">
        <x:v>围绕核心关系形成判断</x:v>
      </x:c>
      <x:c r="L88" s="25" t="str">
        <x:v>专题检索/文本分析</x:v>
      </x:c>
      <x:c r="M88" s="25" t="str">
        <x:v>该行是待补全文的检索位，不是已确认题录</x:v>
      </x:c>
      <x:c r="N88" s="25" t="str">
        <x:v>待核候选</x:v>
      </x:c>
      <x:c r="O88" s="26" t="str">
        <x:v>待题录与全文核验</x:v>
      </x:c>
      <x:c r="P88" s="25" t="str"/>
    </x:row>
    <x:row r="89">
      <x:c r="A89" s="21" t="n">
        <x:v>88</x:v>
      </x:c>
      <x:c r="B89" s="25" t="str">
        <x:v>待核</x:v>
      </x:c>
      <x:c r="C89" s="25" t="str">
        <x:v>【检索位】明体达用、体用贯通的哲学表达</x:v>
      </x:c>
      <x:c r="D89" s="25" t="str">
        <x:v>马克思主义理论学科研究</x:v>
      </x:c>
      <x:c r="E89" s="26" t="n">
        <x:v>2022</x:v>
      </x:c>
      <x:c r="F89" s="26" t="str">
        <x:v>待核</x:v>
      </x:c>
      <x:c r="G89" s="26" t="str">
        <x:v>待核</x:v>
      </x:c>
      <x:c r="H89" s="26" t="str">
        <x:v>待核：不得计入C刊统计</x:v>
      </x:c>
      <x:c r="I89" s="25" t="str">
        <x:v>体用关系</x:v>
      </x:c>
      <x:c r="J89" s="25" t="str">
        <x:v>明体达用、体用贯通的哲学表达</x:v>
      </x:c>
      <x:c r="K89" s="25" t="str">
        <x:v>围绕核心关系形成判断</x:v>
      </x:c>
      <x:c r="L89" s="25" t="str">
        <x:v>专题检索/文本分析</x:v>
      </x:c>
      <x:c r="M89" s="25" t="str">
        <x:v>该行是待补全文的检索位，不是已确认题录</x:v>
      </x:c>
      <x:c r="N89" s="25" t="str">
        <x:v>待核候选</x:v>
      </x:c>
      <x:c r="O89" s="26" t="str">
        <x:v>待题录与全文核验</x:v>
      </x:c>
      <x:c r="P89" s="25" t="str"/>
    </x:row>
    <x:row r="90">
      <x:c r="A90" s="21" t="n">
        <x:v>89</x:v>
      </x:c>
      <x:c r="B90" s="25" t="str">
        <x:v>待核</x:v>
      </x:c>
      <x:c r="C90" s="25" t="str">
        <x:v>【检索位】中国特色社会主义最本质特征</x:v>
      </x:c>
      <x:c r="D90" s="25" t="str">
        <x:v>中国特色社会主义研究</x:v>
      </x:c>
      <x:c r="E90" s="26" t="n">
        <x:v>2023</x:v>
      </x:c>
      <x:c r="F90" s="26" t="str">
        <x:v>待核</x:v>
      </x:c>
      <x:c r="G90" s="26" t="str">
        <x:v>待核</x:v>
      </x:c>
      <x:c r="H90" s="26" t="str">
        <x:v>待核：不得计入C刊统计</x:v>
      </x:c>
      <x:c r="I90" s="25" t="str">
        <x:v>党的领导</x:v>
      </x:c>
      <x:c r="J90" s="25" t="str">
        <x:v>中国特色社会主义最本质特征</x:v>
      </x:c>
      <x:c r="K90" s="25" t="str">
        <x:v>围绕核心关系形成判断</x:v>
      </x:c>
      <x:c r="L90" s="25" t="str">
        <x:v>专题检索/文本分析</x:v>
      </x:c>
      <x:c r="M90" s="25" t="str">
        <x:v>该行是待补全文的检索位，不是已确认题录</x:v>
      </x:c>
      <x:c r="N90" s="25" t="str">
        <x:v>待核候选</x:v>
      </x:c>
      <x:c r="O90" s="26" t="str">
        <x:v>待题录与全文核验</x:v>
      </x:c>
      <x:c r="P90" s="25" t="str"/>
    </x:row>
    <x:row r="91">
      <x:c r="A91" s="21" t="n">
        <x:v>90</x:v>
      </x:c>
      <x:c r="B91" s="25" t="str">
        <x:v>待核</x:v>
      </x:c>
      <x:c r="C91" s="25" t="str">
        <x:v>【检索位】最高政治原则的制度展开</x:v>
      </x:c>
      <x:c r="D91" s="25" t="str">
        <x:v>中共党史研究</x:v>
      </x:c>
      <x:c r="E91" s="26" t="n">
        <x:v>2024</x:v>
      </x:c>
      <x:c r="F91" s="26" t="str">
        <x:v>待核</x:v>
      </x:c>
      <x:c r="G91" s="26" t="str">
        <x:v>待核</x:v>
      </x:c>
      <x:c r="H91" s="26" t="str">
        <x:v>待核：不得计入C刊统计</x:v>
      </x:c>
      <x:c r="I91" s="25" t="str">
        <x:v>集中统一领导</x:v>
      </x:c>
      <x:c r="J91" s="25" t="str">
        <x:v>最高政治原则的制度展开</x:v>
      </x:c>
      <x:c r="K91" s="25" t="str">
        <x:v>围绕核心关系形成判断</x:v>
      </x:c>
      <x:c r="L91" s="25" t="str">
        <x:v>专题检索/文本分析</x:v>
      </x:c>
      <x:c r="M91" s="25" t="str">
        <x:v>该行是待补全文的检索位，不是已确认题录</x:v>
      </x:c>
      <x:c r="N91" s="25" t="str">
        <x:v>待核候选</x:v>
      </x:c>
      <x:c r="O91" s="26" t="str">
        <x:v>待题录与全文核验</x:v>
      </x:c>
      <x:c r="P91" s="25" t="str"/>
    </x:row>
    <x:row r="92">
      <x:c r="A92" s="21" t="n">
        <x:v>91</x:v>
      </x:c>
      <x:c r="B92" s="25" t="str">
        <x:v>待核</x:v>
      </x:c>
      <x:c r="C92" s="25" t="str">
        <x:v>【检索位】战略方针与体系化治理</x:v>
      </x:c>
      <x:c r="D92" s="25" t="str">
        <x:v>党的文献</x:v>
      </x:c>
      <x:c r="E92" s="26" t="n">
        <x:v>2025</x:v>
      </x:c>
      <x:c r="F92" s="26" t="str">
        <x:v>待核</x:v>
      </x:c>
      <x:c r="G92" s="26" t="str">
        <x:v>待核</x:v>
      </x:c>
      <x:c r="H92" s="26" t="str">
        <x:v>待核：不得计入C刊统计</x:v>
      </x:c>
      <x:c r="I92" s="25" t="str">
        <x:v>全面从严治党</x:v>
      </x:c>
      <x:c r="J92" s="25" t="str">
        <x:v>战略方针与体系化治理</x:v>
      </x:c>
      <x:c r="K92" s="25" t="str">
        <x:v>围绕核心关系形成判断</x:v>
      </x:c>
      <x:c r="L92" s="25" t="str">
        <x:v>专题检索/文本分析</x:v>
      </x:c>
      <x:c r="M92" s="25" t="str">
        <x:v>该行是待补全文的检索位，不是已确认题录</x:v>
      </x:c>
      <x:c r="N92" s="25" t="str">
        <x:v>待核候选</x:v>
      </x:c>
      <x:c r="O92" s="26" t="str">
        <x:v>待题录与全文核验</x:v>
      </x:c>
      <x:c r="P92" s="25" t="str"/>
    </x:row>
    <x:row r="93">
      <x:c r="A93" s="21" t="n">
        <x:v>92</x:v>
      </x:c>
      <x:c r="B93" s="25" t="str">
        <x:v>待核</x:v>
      </x:c>
      <x:c r="C93" s="25" t="str">
        <x:v>【检索位】价值立场与长期执政</x:v>
      </x:c>
      <x:c r="D93" s="25" t="str">
        <x:v>理论视野</x:v>
      </x:c>
      <x:c r="E93" s="26" t="n">
        <x:v>2026</x:v>
      </x:c>
      <x:c r="F93" s="26" t="str">
        <x:v>待核</x:v>
      </x:c>
      <x:c r="G93" s="26" t="str">
        <x:v>待核</x:v>
      </x:c>
      <x:c r="H93" s="26" t="str">
        <x:v>待核：不得计入C刊统计</x:v>
      </x:c>
      <x:c r="I93" s="25" t="str">
        <x:v>初心使命</x:v>
      </x:c>
      <x:c r="J93" s="25" t="str">
        <x:v>价值立场与长期执政</x:v>
      </x:c>
      <x:c r="K93" s="25" t="str">
        <x:v>围绕核心关系形成判断</x:v>
      </x:c>
      <x:c r="L93" s="25" t="str">
        <x:v>专题检索/文本分析</x:v>
      </x:c>
      <x:c r="M93" s="25" t="str">
        <x:v>该行是待补全文的检索位，不是已确认题录</x:v>
      </x:c>
      <x:c r="N93" s="25" t="str">
        <x:v>待核候选</x:v>
      </x:c>
      <x:c r="O93" s="26" t="str">
        <x:v>待题录与全文核验</x:v>
      </x:c>
      <x:c r="P93" s="25" t="str"/>
    </x:row>
    <x:row r="94">
      <x:c r="A94" s="21" t="n">
        <x:v>93</x:v>
      </x:c>
      <x:c r="B94" s="25" t="str">
        <x:v>待核</x:v>
      </x:c>
      <x:c r="C94" s="25" t="str">
        <x:v>【检索位】统领地位及其关系结构</x:v>
      </x:c>
      <x:c r="D94" s="25" t="str">
        <x:v>党政研究</x:v>
      </x:c>
      <x:c r="E94" s="26" t="n">
        <x:v>2020</x:v>
      </x:c>
      <x:c r="F94" s="26" t="str">
        <x:v>待核</x:v>
      </x:c>
      <x:c r="G94" s="26" t="str">
        <x:v>待核</x:v>
      </x:c>
      <x:c r="H94" s="26" t="str">
        <x:v>待核：不得计入C刊统计</x:v>
      </x:c>
      <x:c r="I94" s="25" t="str">
        <x:v>政治建设</x:v>
      </x:c>
      <x:c r="J94" s="25" t="str">
        <x:v>统领地位及其关系结构</x:v>
      </x:c>
      <x:c r="K94" s="25" t="str">
        <x:v>围绕核心关系形成判断</x:v>
      </x:c>
      <x:c r="L94" s="25" t="str">
        <x:v>专题检索/文本分析</x:v>
      </x:c>
      <x:c r="M94" s="25" t="str">
        <x:v>该行是待补全文的检索位，不是已确认题录</x:v>
      </x:c>
      <x:c r="N94" s="25" t="str">
        <x:v>待核候选</x:v>
      </x:c>
      <x:c r="O94" s="26" t="str">
        <x:v>待题录与全文核验</x:v>
      </x:c>
      <x:c r="P94" s="25" t="str"/>
    </x:row>
    <x:row r="95">
      <x:c r="A95" s="21" t="n">
        <x:v>94</x:v>
      </x:c>
      <x:c r="B95" s="25" t="str">
        <x:v>待核</x:v>
      </x:c>
      <x:c r="C95" s="25" t="str">
        <x:v>【检索位】凝心铸魂的认识论基础</x:v>
      </x:c>
      <x:c r="D95" s="25" t="str">
        <x:v>理论探讨</x:v>
      </x:c>
      <x:c r="E95" s="26" t="n">
        <x:v>2021</x:v>
      </x:c>
      <x:c r="F95" s="26" t="str">
        <x:v>待核</x:v>
      </x:c>
      <x:c r="G95" s="26" t="str">
        <x:v>待核</x:v>
      </x:c>
      <x:c r="H95" s="26" t="str">
        <x:v>待核：不得计入C刊统计</x:v>
      </x:c>
      <x:c r="I95" s="25" t="str">
        <x:v>理论武装</x:v>
      </x:c>
      <x:c r="J95" s="25" t="str">
        <x:v>凝心铸魂的认识论基础</x:v>
      </x:c>
      <x:c r="K95" s="25" t="str">
        <x:v>围绕核心关系形成判断</x:v>
      </x:c>
      <x:c r="L95" s="25" t="str">
        <x:v>专题检索/文本分析</x:v>
      </x:c>
      <x:c r="M95" s="25" t="str">
        <x:v>该行是待补全文的检索位，不是已确认题录</x:v>
      </x:c>
      <x:c r="N95" s="25" t="str">
        <x:v>待核候选</x:v>
      </x:c>
      <x:c r="O95" s="26" t="str">
        <x:v>待题录与全文核验</x:v>
      </x:c>
      <x:c r="P95" s="25" t="str"/>
    </x:row>
    <x:row r="96">
      <x:c r="A96" s="21" t="n">
        <x:v>95</x:v>
      </x:c>
      <x:c r="B96" s="25" t="str">
        <x:v>待核</x:v>
      </x:c>
      <x:c r="C96" s="25" t="str">
        <x:v>【检索位】党性修养与主体锻造</x:v>
      </x:c>
      <x:c r="D96" s="25" t="str">
        <x:v>理论导刊</x:v>
      </x:c>
      <x:c r="E96" s="26" t="n">
        <x:v>2022</x:v>
      </x:c>
      <x:c r="F96" s="26" t="str">
        <x:v>待核</x:v>
      </x:c>
      <x:c r="G96" s="26" t="str">
        <x:v>待核</x:v>
      </x:c>
      <x:c r="H96" s="26" t="str">
        <x:v>待核：不得计入C刊统计</x:v>
      </x:c>
      <x:c r="I96" s="25" t="str">
        <x:v>党性教育</x:v>
      </x:c>
      <x:c r="J96" s="25" t="str">
        <x:v>党性修养与主体锻造</x:v>
      </x:c>
      <x:c r="K96" s="25" t="str">
        <x:v>围绕核心关系形成判断</x:v>
      </x:c>
      <x:c r="L96" s="25" t="str">
        <x:v>专题检索/文本分析</x:v>
      </x:c>
      <x:c r="M96" s="25" t="str">
        <x:v>该行是待补全文的检索位，不是已确认题录</x:v>
      </x:c>
      <x:c r="N96" s="25" t="str">
        <x:v>待核候选</x:v>
      </x:c>
      <x:c r="O96" s="26" t="str">
        <x:v>待题录与全文核验</x:v>
      </x:c>
      <x:c r="P96" s="25" t="str"/>
    </x:row>
    <x:row r="97">
      <x:c r="A97" s="21" t="n">
        <x:v>96</x:v>
      </x:c>
      <x:c r="B97" s="25" t="str">
        <x:v>待核</x:v>
      </x:c>
      <x:c r="C97" s="25" t="str">
        <x:v>【检索位】上下贯通、执行有力</x:v>
      </x:c>
      <x:c r="D97" s="25" t="str">
        <x:v>学习与实践</x:v>
      </x:c>
      <x:c r="E97" s="26" t="n">
        <x:v>2023</x:v>
      </x:c>
      <x:c r="F97" s="26" t="str">
        <x:v>待核</x:v>
      </x:c>
      <x:c r="G97" s="26" t="str">
        <x:v>待核</x:v>
      </x:c>
      <x:c r="H97" s="26" t="str">
        <x:v>待核：不得计入C刊统计</x:v>
      </x:c>
      <x:c r="I97" s="25" t="str">
        <x:v>组织体系</x:v>
      </x:c>
      <x:c r="J97" s="25" t="str">
        <x:v>上下贯通、执行有力</x:v>
      </x:c>
      <x:c r="K97" s="25" t="str">
        <x:v>围绕核心关系形成判断</x:v>
      </x:c>
      <x:c r="L97" s="25" t="str">
        <x:v>专题检索/文本分析</x:v>
      </x:c>
      <x:c r="M97" s="25" t="str">
        <x:v>该行是待补全文的检索位，不是已确认题录</x:v>
      </x:c>
      <x:c r="N97" s="25" t="str">
        <x:v>待核候选</x:v>
      </x:c>
      <x:c r="O97" s="26" t="str">
        <x:v>待题录与全文核验</x:v>
      </x:c>
      <x:c r="P97" s="25" t="str"/>
    </x:row>
    <x:row r="98">
      <x:c r="A98" s="21" t="n">
        <x:v>97</x:v>
      </x:c>
      <x:c r="B98" s="25" t="str">
        <x:v>待核</x:v>
      </x:c>
      <x:c r="C98" s="25" t="str">
        <x:v>【检索位】选贤任能与政绩观</x:v>
      </x:c>
      <x:c r="D98" s="25" t="str">
        <x:v>探索</x:v>
      </x:c>
      <x:c r="E98" s="26" t="n">
        <x:v>2024</x:v>
      </x:c>
      <x:c r="F98" s="26" t="str">
        <x:v>待核</x:v>
      </x:c>
      <x:c r="G98" s="26" t="str">
        <x:v>待核</x:v>
      </x:c>
      <x:c r="H98" s="26" t="str">
        <x:v>待核：不得计入C刊统计</x:v>
      </x:c>
      <x:c r="I98" s="25" t="str">
        <x:v>干部队伍</x:v>
      </x:c>
      <x:c r="J98" s="25" t="str">
        <x:v>选贤任能与政绩观</x:v>
      </x:c>
      <x:c r="K98" s="25" t="str">
        <x:v>围绕核心关系形成判断</x:v>
      </x:c>
      <x:c r="L98" s="25" t="str">
        <x:v>专题检索/文本分析</x:v>
      </x:c>
      <x:c r="M98" s="25" t="str">
        <x:v>该行是待补全文的检索位，不是已确认题录</x:v>
      </x:c>
      <x:c r="N98" s="25" t="str">
        <x:v>待核候选</x:v>
      </x:c>
      <x:c r="O98" s="26" t="str">
        <x:v>待题录与全文核验</x:v>
      </x:c>
      <x:c r="P98" s="25" t="str"/>
    </x:row>
    <x:row r="99">
      <x:c r="A99" s="21" t="n">
        <x:v>98</x:v>
      </x:c>
      <x:c r="B99" s="25" t="str">
        <x:v>待核</x:v>
      </x:c>
      <x:c r="C99" s="25" t="str">
        <x:v>【检索位】常态化长效化</x:v>
      </x:c>
      <x:c r="D99" s="25" t="str">
        <x:v>求实</x:v>
      </x:c>
      <x:c r="E99" s="26" t="n">
        <x:v>2025</x:v>
      </x:c>
      <x:c r="F99" s="26" t="str">
        <x:v>待核</x:v>
      </x:c>
      <x:c r="G99" s="26" t="str">
        <x:v>待核</x:v>
      </x:c>
      <x:c r="H99" s="26" t="str">
        <x:v>待核：不得计入C刊统计</x:v>
      </x:c>
      <x:c r="I99" s="25" t="str">
        <x:v>作风建设</x:v>
      </x:c>
      <x:c r="J99" s="25" t="str">
        <x:v>常态化长效化</x:v>
      </x:c>
      <x:c r="K99" s="25" t="str">
        <x:v>围绕核心关系形成判断</x:v>
      </x:c>
      <x:c r="L99" s="25" t="str">
        <x:v>专题检索/文本分析</x:v>
      </x:c>
      <x:c r="M99" s="25" t="str">
        <x:v>该行是待补全文的检索位，不是已确认题录</x:v>
      </x:c>
      <x:c r="N99" s="25" t="str">
        <x:v>待核候选</x:v>
      </x:c>
      <x:c r="O99" s="26" t="str">
        <x:v>待题录与全文核验</x:v>
      </x:c>
      <x:c r="P99" s="25" t="str"/>
    </x:row>
    <x:row r="100">
      <x:c r="A100" s="21" t="n">
        <x:v>99</x:v>
      </x:c>
      <x:c r="B100" s="25" t="str">
        <x:v>待核</x:v>
      </x:c>
      <x:c r="C100" s="25" t="str">
        <x:v>【检索位】严明纪律与行为边界</x:v>
      </x:c>
      <x:c r="D100" s="25" t="str">
        <x:v>湖湘论坛</x:v>
      </x:c>
      <x:c r="E100" s="26" t="n">
        <x:v>2026</x:v>
      </x:c>
      <x:c r="F100" s="26" t="str">
        <x:v>待核</x:v>
      </x:c>
      <x:c r="G100" s="26" t="str">
        <x:v>待核</x:v>
      </x:c>
      <x:c r="H100" s="26" t="str">
        <x:v>待核：不得计入C刊统计</x:v>
      </x:c>
      <x:c r="I100" s="25" t="str">
        <x:v>纪律建设</x:v>
      </x:c>
      <x:c r="J100" s="25" t="str">
        <x:v>严明纪律与行为边界</x:v>
      </x:c>
      <x:c r="K100" s="25" t="str">
        <x:v>围绕核心关系形成判断</x:v>
      </x:c>
      <x:c r="L100" s="25" t="str">
        <x:v>专题检索/文本分析</x:v>
      </x:c>
      <x:c r="M100" s="25" t="str">
        <x:v>该行是待补全文的检索位，不是已确认题录</x:v>
      </x:c>
      <x:c r="N100" s="25" t="str">
        <x:v>待核候选</x:v>
      </x:c>
      <x:c r="O100" s="26" t="str">
        <x:v>待题录与全文核验</x:v>
      </x:c>
      <x:c r="P100" s="25" t="str"/>
    </x:row>
    <x:row r="101">
      <x:c r="A101" s="21" t="n">
        <x:v>100</x:v>
      </x:c>
      <x:c r="B101" s="25" t="str">
        <x:v>待核</x:v>
      </x:c>
      <x:c r="C101" s="25" t="str">
        <x:v>【检索位】三不腐一体推进</x:v>
      </x:c>
      <x:c r="D101" s="25" t="str">
        <x:v>山东社会科学</x:v>
      </x:c>
      <x:c r="E101" s="26" t="n">
        <x:v>2020</x:v>
      </x:c>
      <x:c r="F101" s="26" t="str">
        <x:v>待核</x:v>
      </x:c>
      <x:c r="G101" s="26" t="str">
        <x:v>待核</x:v>
      </x:c>
      <x:c r="H101" s="26" t="str">
        <x:v>待核：不得计入C刊统计</x:v>
      </x:c>
      <x:c r="I101" s="25" t="str">
        <x:v>反腐败</x:v>
      </x:c>
      <x:c r="J101" s="25" t="str">
        <x:v>三不腐一体推进</x:v>
      </x:c>
      <x:c r="K101" s="25" t="str">
        <x:v>围绕核心关系形成判断</x:v>
      </x:c>
      <x:c r="L101" s="25" t="str">
        <x:v>专题检索/文本分析</x:v>
      </x:c>
      <x:c r="M101" s="25" t="str">
        <x:v>该行是待补全文的检索位，不是已确认题录</x:v>
      </x:c>
      <x:c r="N101" s="25" t="str">
        <x:v>待核候选</x:v>
      </x:c>
      <x:c r="O101" s="26" t="str">
        <x:v>待题录与全文核验</x:v>
      </x:c>
      <x:c r="P101" s="25" t="str"/>
    </x:row>
    <x:row r="102">
      <x:c r="A102" s="21" t="n">
        <x:v>101</x:v>
      </x:c>
      <x:c r="B102" s="25" t="str">
        <x:v>待核</x:v>
      </x:c>
      <x:c r="C102" s="25" t="str">
        <x:v>【检索位】依规治党及制度执行</x:v>
      </x:c>
      <x:c r="D102" s="25" t="str">
        <x:v>社会科学战线</x:v>
      </x:c>
      <x:c r="E102" s="26" t="n">
        <x:v>2021</x:v>
      </x:c>
      <x:c r="F102" s="26" t="str">
        <x:v>待核</x:v>
      </x:c>
      <x:c r="G102" s="26" t="str">
        <x:v>待核</x:v>
      </x:c>
      <x:c r="H102" s="26" t="str">
        <x:v>待核：不得计入C刊统计</x:v>
      </x:c>
      <x:c r="I102" s="25" t="str">
        <x:v>制度治党</x:v>
      </x:c>
      <x:c r="J102" s="25" t="str">
        <x:v>依规治党及制度执行</x:v>
      </x:c>
      <x:c r="K102" s="25" t="str">
        <x:v>围绕核心关系形成判断</x:v>
      </x:c>
      <x:c r="L102" s="25" t="str">
        <x:v>专题检索/文本分析</x:v>
      </x:c>
      <x:c r="M102" s="25" t="str">
        <x:v>该行是待补全文的检索位，不是已确认题录</x:v>
      </x:c>
      <x:c r="N102" s="25" t="str">
        <x:v>待核候选</x:v>
      </x:c>
      <x:c r="O102" s="26" t="str">
        <x:v>待题录与全文核验</x:v>
      </x:c>
      <x:c r="P102" s="25" t="str"/>
    </x:row>
    <x:row r="103">
      <x:c r="A103" s="21" t="n">
        <x:v>102</x:v>
      </x:c>
      <x:c r="B103" s="25" t="str">
        <x:v>待核</x:v>
      </x:c>
      <x:c r="C103" s="25" t="str">
        <x:v>【检索位】责任链条与问责机制</x:v>
      </x:c>
      <x:c r="D103" s="25" t="str">
        <x:v>浙江社会科学</x:v>
      </x:c>
      <x:c r="E103" s="26" t="n">
        <x:v>2022</x:v>
      </x:c>
      <x:c r="F103" s="26" t="str">
        <x:v>待核</x:v>
      </x:c>
      <x:c r="G103" s="26" t="str">
        <x:v>待核</x:v>
      </x:c>
      <x:c r="H103" s="26" t="str">
        <x:v>待核：不得计入C刊统计</x:v>
      </x:c>
      <x:c r="I103" s="25" t="str">
        <x:v>政治责任</x:v>
      </x:c>
      <x:c r="J103" s="25" t="str">
        <x:v>责任链条与问责机制</x:v>
      </x:c>
      <x:c r="K103" s="25" t="str">
        <x:v>围绕核心关系形成判断</x:v>
      </x:c>
      <x:c r="L103" s="25" t="str">
        <x:v>专题检索/文本分析</x:v>
      </x:c>
      <x:c r="M103" s="25" t="str">
        <x:v>该行是待补全文的检索位，不是已确认题录</x:v>
      </x:c>
      <x:c r="N103" s="25" t="str">
        <x:v>待核候选</x:v>
      </x:c>
      <x:c r="O103" s="26" t="str">
        <x:v>待题录与全文核验</x:v>
      </x:c>
      <x:c r="P103" s="25" t="str"/>
    </x:row>
    <x:row r="104">
      <x:c r="A104" s="21" t="n">
        <x:v>103</x:v>
      </x:c>
      <x:c r="B104" s="25" t="str">
        <x:v>待核</x:v>
      </x:c>
      <x:c r="C104" s="25" t="str">
        <x:v>【检索位】跳出历史周期率第二个答案</x:v>
      </x:c>
      <x:c r="D104" s="25" t="str">
        <x:v>江汉论坛</x:v>
      </x:c>
      <x:c r="E104" s="26" t="n">
        <x:v>2023</x:v>
      </x:c>
      <x:c r="F104" s="26" t="str">
        <x:v>待核</x:v>
      </x:c>
      <x:c r="G104" s="26" t="str">
        <x:v>待核</x:v>
      </x:c>
      <x:c r="H104" s="26" t="str">
        <x:v>待核：不得计入C刊统计</x:v>
      </x:c>
      <x:c r="I104" s="25" t="str">
        <x:v>自我革命</x:v>
      </x:c>
      <x:c r="J104" s="25" t="str">
        <x:v>跳出历史周期率第二个答案</x:v>
      </x:c>
      <x:c r="K104" s="25" t="str">
        <x:v>围绕核心关系形成判断</x:v>
      </x:c>
      <x:c r="L104" s="25" t="str">
        <x:v>专题检索/文本分析</x:v>
      </x:c>
      <x:c r="M104" s="25" t="str">
        <x:v>该行是待补全文的检索位，不是已确认题录</x:v>
      </x:c>
      <x:c r="N104" s="25" t="str">
        <x:v>待核候选</x:v>
      </x:c>
      <x:c r="O104" s="26" t="str">
        <x:v>待题录与全文核验</x:v>
      </x:c>
      <x:c r="P104" s="25" t="str"/>
    </x:row>
    <x:row r="105">
      <x:c r="A105" s="21" t="n">
        <x:v>104</x:v>
      </x:c>
      <x:c r="B105" s="25" t="str">
        <x:v>待核</x:v>
      </x:c>
      <x:c r="C105" s="25" t="str">
        <x:v>【检索位】六个如何始终的现实回应</x:v>
      </x:c>
      <x:c r="D105" s="25" t="str">
        <x:v>东岳论丛</x:v>
      </x:c>
      <x:c r="E105" s="26" t="n">
        <x:v>2024</x:v>
      </x:c>
      <x:c r="F105" s="26" t="str">
        <x:v>待核</x:v>
      </x:c>
      <x:c r="G105" s="26" t="str">
        <x:v>待核</x:v>
      </x:c>
      <x:c r="H105" s="26" t="str">
        <x:v>待核：不得计入C刊统计</x:v>
      </x:c>
      <x:c r="I105" s="25" t="str">
        <x:v>大党难题</x:v>
      </x:c>
      <x:c r="J105" s="25" t="str">
        <x:v>六个如何始终的现实回应</x:v>
      </x:c>
      <x:c r="K105" s="25" t="str">
        <x:v>围绕核心关系形成判断</x:v>
      </x:c>
      <x:c r="L105" s="25" t="str">
        <x:v>专题检索/文本分析</x:v>
      </x:c>
      <x:c r="M105" s="25" t="str">
        <x:v>该行是待补全文的检索位，不是已确认题录</x:v>
      </x:c>
      <x:c r="N105" s="25" t="str">
        <x:v>待核候选</x:v>
      </x:c>
      <x:c r="O105" s="26" t="str">
        <x:v>待题录与全文核验</x:v>
      </x:c>
      <x:c r="P105" s="25" t="str"/>
    </x:row>
    <x:row r="106">
      <x:c r="A106" s="21" t="n">
        <x:v>105</x:v>
      </x:c>
      <x:c r="B106" s="25" t="str">
        <x:v>待核</x:v>
      </x:c>
      <x:c r="C106" s="25" t="str">
        <x:v>【检索位】十四个坚持的总分结构与逻辑主线</x:v>
      </x:c>
      <x:c r="D106" s="25" t="str">
        <x:v>马克思主义研究</x:v>
      </x:c>
      <x:c r="E106" s="26" t="n">
        <x:v>2025</x:v>
      </x:c>
      <x:c r="F106" s="26" t="str">
        <x:v>待核</x:v>
      </x:c>
      <x:c r="G106" s="26" t="str">
        <x:v>待核</x:v>
      </x:c>
      <x:c r="H106" s="26" t="str">
        <x:v>待核：不得计入C刊统计</x:v>
      </x:c>
      <x:c r="I106" s="25" t="str">
        <x:v>体系建构</x:v>
      </x:c>
      <x:c r="J106" s="25" t="str">
        <x:v>十四个坚持的总分结构与逻辑主线</x:v>
      </x:c>
      <x:c r="K106" s="25" t="str">
        <x:v>围绕核心关系形成判断</x:v>
      </x:c>
      <x:c r="L106" s="25" t="str">
        <x:v>专题检索/文本分析</x:v>
      </x:c>
      <x:c r="M106" s="25" t="str">
        <x:v>该行是待补全文的检索位，不是已确认题录</x:v>
      </x:c>
      <x:c r="N106" s="25" t="str">
        <x:v>待核候选</x:v>
      </x:c>
      <x:c r="O106" s="26" t="str">
        <x:v>待题录与全文核验</x:v>
      </x:c>
      <x:c r="P106" s="25" t="str"/>
    </x:row>
    <x:row r="107">
      <x:c r="A107" s="21" t="n">
        <x:v>106</x:v>
      </x:c>
      <x:c r="B107" s="25" t="str">
        <x:v>待核</x:v>
      </x:c>
      <x:c r="C107" s="25" t="str">
        <x:v>【检索位】马克思主义建党学说的继承发展</x:v>
      </x:c>
      <x:c r="D107" s="25" t="str">
        <x:v>教学与研究</x:v>
      </x:c>
      <x:c r="E107" s="26" t="n">
        <x:v>2026</x:v>
      </x:c>
      <x:c r="F107" s="26" t="str">
        <x:v>待核</x:v>
      </x:c>
      <x:c r="G107" s="26" t="str">
        <x:v>待核</x:v>
      </x:c>
      <x:c r="H107" s="26" t="str">
        <x:v>待核：不得计入C刊统计</x:v>
      </x:c>
      <x:c r="I107" s="25" t="str">
        <x:v>理论基础</x:v>
      </x:c>
      <x:c r="J107" s="25" t="str">
        <x:v>马克思主义建党学说的继承发展</x:v>
      </x:c>
      <x:c r="K107" s="25" t="str">
        <x:v>围绕核心关系形成判断</x:v>
      </x:c>
      <x:c r="L107" s="25" t="str">
        <x:v>专题检索/文本分析</x:v>
      </x:c>
      <x:c r="M107" s="25" t="str">
        <x:v>该行是待补全文的检索位，不是已确认题录</x:v>
      </x:c>
      <x:c r="N107" s="25" t="str">
        <x:v>待核候选</x:v>
      </x:c>
      <x:c r="O107" s="26" t="str">
        <x:v>待题录与全文核验</x:v>
      </x:c>
      <x:c r="P107" s="25" t="str"/>
    </x:row>
    <x:row r="108">
      <x:c r="A108" s="21" t="n">
        <x:v>107</x:v>
      </x:c>
      <x:c r="B108" s="25" t="str">
        <x:v>待核</x:v>
      </x:c>
      <x:c r="C108" s="25" t="str">
        <x:v>【检索位】中华优秀传统文化的创造性转化</x:v>
      </x:c>
      <x:c r="D108" s="25" t="str">
        <x:v>思想理论教育导刊</x:v>
      </x:c>
      <x:c r="E108" s="26" t="n">
        <x:v>2020</x:v>
      </x:c>
      <x:c r="F108" s="26" t="str">
        <x:v>待核</x:v>
      </x:c>
      <x:c r="G108" s="26" t="str">
        <x:v>待核</x:v>
      </x:c>
      <x:c r="H108" s="26" t="str">
        <x:v>待核：不得计入C刊统计</x:v>
      </x:c>
      <x:c r="I108" s="25" t="str">
        <x:v>第二个结合</x:v>
      </x:c>
      <x:c r="J108" s="25" t="str">
        <x:v>中华优秀传统文化的创造性转化</x:v>
      </x:c>
      <x:c r="K108" s="25" t="str">
        <x:v>围绕核心关系形成判断</x:v>
      </x:c>
      <x:c r="L108" s="25" t="str">
        <x:v>专题检索/文本分析</x:v>
      </x:c>
      <x:c r="M108" s="25" t="str">
        <x:v>该行是待补全文的检索位，不是已确认题录</x:v>
      </x:c>
      <x:c r="N108" s="25" t="str">
        <x:v>待核候选</x:v>
      </x:c>
      <x:c r="O108" s="26" t="str">
        <x:v>待题录与全文核验</x:v>
      </x:c>
      <x:c r="P108" s="25" t="str"/>
    </x:row>
    <x:row r="109">
      <x:c r="A109" s="21" t="n">
        <x:v>108</x:v>
      </x:c>
      <x:c r="B109" s="25" t="str">
        <x:v>待核</x:v>
      </x:c>
      <x:c r="C109" s="25" t="str">
        <x:v>【检索位】明体达用、体用贯通的哲学表达</x:v>
      </x:c>
      <x:c r="D109" s="25" t="str">
        <x:v>马克思主义理论学科研究</x:v>
      </x:c>
      <x:c r="E109" s="26" t="n">
        <x:v>2021</x:v>
      </x:c>
      <x:c r="F109" s="26" t="str">
        <x:v>待核</x:v>
      </x:c>
      <x:c r="G109" s="26" t="str">
        <x:v>待核</x:v>
      </x:c>
      <x:c r="H109" s="26" t="str">
        <x:v>待核：不得计入C刊统计</x:v>
      </x:c>
      <x:c r="I109" s="25" t="str">
        <x:v>体用关系</x:v>
      </x:c>
      <x:c r="J109" s="25" t="str">
        <x:v>明体达用、体用贯通的哲学表达</x:v>
      </x:c>
      <x:c r="K109" s="25" t="str">
        <x:v>围绕核心关系形成判断</x:v>
      </x:c>
      <x:c r="L109" s="25" t="str">
        <x:v>专题检索/文本分析</x:v>
      </x:c>
      <x:c r="M109" s="25" t="str">
        <x:v>该行是待补全文的检索位，不是已确认题录</x:v>
      </x:c>
      <x:c r="N109" s="25" t="str">
        <x:v>待核候选</x:v>
      </x:c>
      <x:c r="O109" s="26" t="str">
        <x:v>待题录与全文核验</x:v>
      </x:c>
      <x:c r="P109" s="25" t="str"/>
    </x:row>
    <x:row r="110">
      <x:c r="A110" s="21" t="n">
        <x:v>109</x:v>
      </x:c>
      <x:c r="B110" s="25" t="str">
        <x:v>待核</x:v>
      </x:c>
      <x:c r="C110" s="25" t="str">
        <x:v>【检索位】中国特色社会主义最本质特征</x:v>
      </x:c>
      <x:c r="D110" s="25" t="str">
        <x:v>中国特色社会主义研究</x:v>
      </x:c>
      <x:c r="E110" s="26" t="n">
        <x:v>2022</x:v>
      </x:c>
      <x:c r="F110" s="26" t="str">
        <x:v>待核</x:v>
      </x:c>
      <x:c r="G110" s="26" t="str">
        <x:v>待核</x:v>
      </x:c>
      <x:c r="H110" s="26" t="str">
        <x:v>待核：不得计入C刊统计</x:v>
      </x:c>
      <x:c r="I110" s="25" t="str">
        <x:v>党的领导</x:v>
      </x:c>
      <x:c r="J110" s="25" t="str">
        <x:v>中国特色社会主义最本质特征</x:v>
      </x:c>
      <x:c r="K110" s="25" t="str">
        <x:v>围绕核心关系形成判断</x:v>
      </x:c>
      <x:c r="L110" s="25" t="str">
        <x:v>专题检索/文本分析</x:v>
      </x:c>
      <x:c r="M110" s="25" t="str">
        <x:v>该行是待补全文的检索位，不是已确认题录</x:v>
      </x:c>
      <x:c r="N110" s="25" t="str">
        <x:v>待核候选</x:v>
      </x:c>
      <x:c r="O110" s="26" t="str">
        <x:v>待题录与全文核验</x:v>
      </x:c>
      <x:c r="P110" s="25" t="str"/>
    </x:row>
    <x:row r="111">
      <x:c r="A111" s="21" t="n">
        <x:v>110</x:v>
      </x:c>
      <x:c r="B111" s="25" t="str">
        <x:v>待核</x:v>
      </x:c>
      <x:c r="C111" s="25" t="str">
        <x:v>【检索位】最高政治原则的制度展开</x:v>
      </x:c>
      <x:c r="D111" s="25" t="str">
        <x:v>中共党史研究</x:v>
      </x:c>
      <x:c r="E111" s="26" t="n">
        <x:v>2023</x:v>
      </x:c>
      <x:c r="F111" s="26" t="str">
        <x:v>待核</x:v>
      </x:c>
      <x:c r="G111" s="26" t="str">
        <x:v>待核</x:v>
      </x:c>
      <x:c r="H111" s="26" t="str">
        <x:v>待核：不得计入C刊统计</x:v>
      </x:c>
      <x:c r="I111" s="25" t="str">
        <x:v>集中统一领导</x:v>
      </x:c>
      <x:c r="J111" s="25" t="str">
        <x:v>最高政治原则的制度展开</x:v>
      </x:c>
      <x:c r="K111" s="25" t="str">
        <x:v>围绕核心关系形成判断</x:v>
      </x:c>
      <x:c r="L111" s="25" t="str">
        <x:v>专题检索/文本分析</x:v>
      </x:c>
      <x:c r="M111" s="25" t="str">
        <x:v>该行是待补全文的检索位，不是已确认题录</x:v>
      </x:c>
      <x:c r="N111" s="25" t="str">
        <x:v>待核候选</x:v>
      </x:c>
      <x:c r="O111" s="26" t="str">
        <x:v>待题录与全文核验</x:v>
      </x:c>
      <x:c r="P111" s="25" t="str"/>
    </x:row>
    <x:row r="112">
      <x:c r="A112" s="21" t="n">
        <x:v>111</x:v>
      </x:c>
      <x:c r="B112" s="25" t="str">
        <x:v>待核</x:v>
      </x:c>
      <x:c r="C112" s="25" t="str">
        <x:v>【检索位】战略方针与体系化治理</x:v>
      </x:c>
      <x:c r="D112" s="25" t="str">
        <x:v>党的文献</x:v>
      </x:c>
      <x:c r="E112" s="26" t="n">
        <x:v>2024</x:v>
      </x:c>
      <x:c r="F112" s="26" t="str">
        <x:v>待核</x:v>
      </x:c>
      <x:c r="G112" s="26" t="str">
        <x:v>待核</x:v>
      </x:c>
      <x:c r="H112" s="26" t="str">
        <x:v>待核：不得计入C刊统计</x:v>
      </x:c>
      <x:c r="I112" s="25" t="str">
        <x:v>全面从严治党</x:v>
      </x:c>
      <x:c r="J112" s="25" t="str">
        <x:v>战略方针与体系化治理</x:v>
      </x:c>
      <x:c r="K112" s="25" t="str">
        <x:v>围绕核心关系形成判断</x:v>
      </x:c>
      <x:c r="L112" s="25" t="str">
        <x:v>专题检索/文本分析</x:v>
      </x:c>
      <x:c r="M112" s="25" t="str">
        <x:v>该行是待补全文的检索位，不是已确认题录</x:v>
      </x:c>
      <x:c r="N112" s="25" t="str">
        <x:v>待核候选</x:v>
      </x:c>
      <x:c r="O112" s="26" t="str">
        <x:v>待题录与全文核验</x:v>
      </x:c>
      <x:c r="P112" s="25" t="str"/>
    </x:row>
    <x:row r="113">
      <x:c r="A113" s="21" t="n">
        <x:v>112</x:v>
      </x:c>
      <x:c r="B113" s="25" t="str">
        <x:v>待核</x:v>
      </x:c>
      <x:c r="C113" s="25" t="str">
        <x:v>【检索位】价值立场与长期执政</x:v>
      </x:c>
      <x:c r="D113" s="25" t="str">
        <x:v>理论视野</x:v>
      </x:c>
      <x:c r="E113" s="26" t="n">
        <x:v>2025</x:v>
      </x:c>
      <x:c r="F113" s="26" t="str">
        <x:v>待核</x:v>
      </x:c>
      <x:c r="G113" s="26" t="str">
        <x:v>待核</x:v>
      </x:c>
      <x:c r="H113" s="26" t="str">
        <x:v>待核：不得计入C刊统计</x:v>
      </x:c>
      <x:c r="I113" s="25" t="str">
        <x:v>初心使命</x:v>
      </x:c>
      <x:c r="J113" s="25" t="str">
        <x:v>价值立场与长期执政</x:v>
      </x:c>
      <x:c r="K113" s="25" t="str">
        <x:v>围绕核心关系形成判断</x:v>
      </x:c>
      <x:c r="L113" s="25" t="str">
        <x:v>专题检索/文本分析</x:v>
      </x:c>
      <x:c r="M113" s="25" t="str">
        <x:v>该行是待补全文的检索位，不是已确认题录</x:v>
      </x:c>
      <x:c r="N113" s="25" t="str">
        <x:v>待核候选</x:v>
      </x:c>
      <x:c r="O113" s="26" t="str">
        <x:v>待题录与全文核验</x:v>
      </x:c>
      <x:c r="P113" s="25" t="str"/>
    </x:row>
    <x:row r="114">
      <x:c r="A114" s="21" t="n">
        <x:v>113</x:v>
      </x:c>
      <x:c r="B114" s="25" t="str">
        <x:v>待核</x:v>
      </x:c>
      <x:c r="C114" s="25" t="str">
        <x:v>【检索位】统领地位及其关系结构</x:v>
      </x:c>
      <x:c r="D114" s="25" t="str">
        <x:v>党政研究</x:v>
      </x:c>
      <x:c r="E114" s="26" t="n">
        <x:v>2026</x:v>
      </x:c>
      <x:c r="F114" s="26" t="str">
        <x:v>待核</x:v>
      </x:c>
      <x:c r="G114" s="26" t="str">
        <x:v>待核</x:v>
      </x:c>
      <x:c r="H114" s="26" t="str">
        <x:v>待核：不得计入C刊统计</x:v>
      </x:c>
      <x:c r="I114" s="25" t="str">
        <x:v>政治建设</x:v>
      </x:c>
      <x:c r="J114" s="25" t="str">
        <x:v>统领地位及其关系结构</x:v>
      </x:c>
      <x:c r="K114" s="25" t="str">
        <x:v>围绕核心关系形成判断</x:v>
      </x:c>
      <x:c r="L114" s="25" t="str">
        <x:v>专题检索/文本分析</x:v>
      </x:c>
      <x:c r="M114" s="25" t="str">
        <x:v>该行是待补全文的检索位，不是已确认题录</x:v>
      </x:c>
      <x:c r="N114" s="25" t="str">
        <x:v>待核候选</x:v>
      </x:c>
      <x:c r="O114" s="26" t="str">
        <x:v>待题录与全文核验</x:v>
      </x:c>
      <x:c r="P114" s="25" t="str"/>
    </x:row>
    <x:row r="115">
      <x:c r="A115" s="21" t="n">
        <x:v>114</x:v>
      </x:c>
      <x:c r="B115" s="25" t="str">
        <x:v>待核</x:v>
      </x:c>
      <x:c r="C115" s="25" t="str">
        <x:v>【检索位】凝心铸魂的认识论基础</x:v>
      </x:c>
      <x:c r="D115" s="25" t="str">
        <x:v>理论探讨</x:v>
      </x:c>
      <x:c r="E115" s="26" t="n">
        <x:v>2020</x:v>
      </x:c>
      <x:c r="F115" s="26" t="str">
        <x:v>待核</x:v>
      </x:c>
      <x:c r="G115" s="26" t="str">
        <x:v>待核</x:v>
      </x:c>
      <x:c r="H115" s="26" t="str">
        <x:v>待核：不得计入C刊统计</x:v>
      </x:c>
      <x:c r="I115" s="25" t="str">
        <x:v>理论武装</x:v>
      </x:c>
      <x:c r="J115" s="25" t="str">
        <x:v>凝心铸魂的认识论基础</x:v>
      </x:c>
      <x:c r="K115" s="25" t="str">
        <x:v>围绕核心关系形成判断</x:v>
      </x:c>
      <x:c r="L115" s="25" t="str">
        <x:v>专题检索/文本分析</x:v>
      </x:c>
      <x:c r="M115" s="25" t="str">
        <x:v>该行是待补全文的检索位，不是已确认题录</x:v>
      </x:c>
      <x:c r="N115" s="25" t="str">
        <x:v>待核候选</x:v>
      </x:c>
      <x:c r="O115" s="26" t="str">
        <x:v>待题录与全文核验</x:v>
      </x:c>
      <x:c r="P115" s="25" t="str"/>
    </x:row>
    <x:row r="116">
      <x:c r="A116" s="21" t="n">
        <x:v>115</x:v>
      </x:c>
      <x:c r="B116" s="25" t="str">
        <x:v>待核</x:v>
      </x:c>
      <x:c r="C116" s="25" t="str">
        <x:v>【检索位】党性修养与主体锻造</x:v>
      </x:c>
      <x:c r="D116" s="25" t="str">
        <x:v>理论导刊</x:v>
      </x:c>
      <x:c r="E116" s="26" t="n">
        <x:v>2021</x:v>
      </x:c>
      <x:c r="F116" s="26" t="str">
        <x:v>待核</x:v>
      </x:c>
      <x:c r="G116" s="26" t="str">
        <x:v>待核</x:v>
      </x:c>
      <x:c r="H116" s="26" t="str">
        <x:v>待核：不得计入C刊统计</x:v>
      </x:c>
      <x:c r="I116" s="25" t="str">
        <x:v>党性教育</x:v>
      </x:c>
      <x:c r="J116" s="25" t="str">
        <x:v>党性修养与主体锻造</x:v>
      </x:c>
      <x:c r="K116" s="25" t="str">
        <x:v>围绕核心关系形成判断</x:v>
      </x:c>
      <x:c r="L116" s="25" t="str">
        <x:v>专题检索/文本分析</x:v>
      </x:c>
      <x:c r="M116" s="25" t="str">
        <x:v>该行是待补全文的检索位，不是已确认题录</x:v>
      </x:c>
      <x:c r="N116" s="25" t="str">
        <x:v>待核候选</x:v>
      </x:c>
      <x:c r="O116" s="26" t="str">
        <x:v>待题录与全文核验</x:v>
      </x:c>
      <x:c r="P116" s="25" t="str"/>
    </x:row>
    <x:row r="117">
      <x:c r="A117" s="21" t="n">
        <x:v>116</x:v>
      </x:c>
      <x:c r="B117" s="25" t="str">
        <x:v>待核</x:v>
      </x:c>
      <x:c r="C117" s="25" t="str">
        <x:v>【检索位】上下贯通、执行有力</x:v>
      </x:c>
      <x:c r="D117" s="25" t="str">
        <x:v>学习与实践</x:v>
      </x:c>
      <x:c r="E117" s="26" t="n">
        <x:v>2022</x:v>
      </x:c>
      <x:c r="F117" s="26" t="str">
        <x:v>待核</x:v>
      </x:c>
      <x:c r="G117" s="26" t="str">
        <x:v>待核</x:v>
      </x:c>
      <x:c r="H117" s="26" t="str">
        <x:v>待核：不得计入C刊统计</x:v>
      </x:c>
      <x:c r="I117" s="25" t="str">
        <x:v>组织体系</x:v>
      </x:c>
      <x:c r="J117" s="25" t="str">
        <x:v>上下贯通、执行有力</x:v>
      </x:c>
      <x:c r="K117" s="25" t="str">
        <x:v>围绕核心关系形成判断</x:v>
      </x:c>
      <x:c r="L117" s="25" t="str">
        <x:v>专题检索/文本分析</x:v>
      </x:c>
      <x:c r="M117" s="25" t="str">
        <x:v>该行是待补全文的检索位，不是已确认题录</x:v>
      </x:c>
      <x:c r="N117" s="25" t="str">
        <x:v>待核候选</x:v>
      </x:c>
      <x:c r="O117" s="26" t="str">
        <x:v>待题录与全文核验</x:v>
      </x:c>
      <x:c r="P117" s="25" t="str"/>
    </x:row>
    <x:row r="118">
      <x:c r="A118" s="21" t="n">
        <x:v>117</x:v>
      </x:c>
      <x:c r="B118" s="25" t="str">
        <x:v>待核</x:v>
      </x:c>
      <x:c r="C118" s="25" t="str">
        <x:v>【检索位】选贤任能与政绩观</x:v>
      </x:c>
      <x:c r="D118" s="25" t="str">
        <x:v>探索</x:v>
      </x:c>
      <x:c r="E118" s="26" t="n">
        <x:v>2023</x:v>
      </x:c>
      <x:c r="F118" s="26" t="str">
        <x:v>待核</x:v>
      </x:c>
      <x:c r="G118" s="26" t="str">
        <x:v>待核</x:v>
      </x:c>
      <x:c r="H118" s="26" t="str">
        <x:v>待核：不得计入C刊统计</x:v>
      </x:c>
      <x:c r="I118" s="25" t="str">
        <x:v>干部队伍</x:v>
      </x:c>
      <x:c r="J118" s="25" t="str">
        <x:v>选贤任能与政绩观</x:v>
      </x:c>
      <x:c r="K118" s="25" t="str">
        <x:v>围绕核心关系形成判断</x:v>
      </x:c>
      <x:c r="L118" s="25" t="str">
        <x:v>专题检索/文本分析</x:v>
      </x:c>
      <x:c r="M118" s="25" t="str">
        <x:v>该行是待补全文的检索位，不是已确认题录</x:v>
      </x:c>
      <x:c r="N118" s="25" t="str">
        <x:v>待核候选</x:v>
      </x:c>
      <x:c r="O118" s="26" t="str">
        <x:v>待题录与全文核验</x:v>
      </x:c>
      <x:c r="P118" s="25" t="str"/>
    </x:row>
    <x:row r="119">
      <x:c r="A119" s="21" t="n">
        <x:v>118</x:v>
      </x:c>
      <x:c r="B119" s="25" t="str">
        <x:v>待核</x:v>
      </x:c>
      <x:c r="C119" s="25" t="str">
        <x:v>【检索位】常态化长效化</x:v>
      </x:c>
      <x:c r="D119" s="25" t="str">
        <x:v>求实</x:v>
      </x:c>
      <x:c r="E119" s="26" t="n">
        <x:v>2024</x:v>
      </x:c>
      <x:c r="F119" s="26" t="str">
        <x:v>待核</x:v>
      </x:c>
      <x:c r="G119" s="26" t="str">
        <x:v>待核</x:v>
      </x:c>
      <x:c r="H119" s="26" t="str">
        <x:v>待核：不得计入C刊统计</x:v>
      </x:c>
      <x:c r="I119" s="25" t="str">
        <x:v>作风建设</x:v>
      </x:c>
      <x:c r="J119" s="25" t="str">
        <x:v>常态化长效化</x:v>
      </x:c>
      <x:c r="K119" s="25" t="str">
        <x:v>围绕核心关系形成判断</x:v>
      </x:c>
      <x:c r="L119" s="25" t="str">
        <x:v>专题检索/文本分析</x:v>
      </x:c>
      <x:c r="M119" s="25" t="str">
        <x:v>该行是待补全文的检索位，不是已确认题录</x:v>
      </x:c>
      <x:c r="N119" s="25" t="str">
        <x:v>待核候选</x:v>
      </x:c>
      <x:c r="O119" s="26" t="str">
        <x:v>待题录与全文核验</x:v>
      </x:c>
      <x:c r="P119" s="25" t="str"/>
    </x:row>
    <x:row r="120">
      <x:c r="A120" s="21" t="n">
        <x:v>119</x:v>
      </x:c>
      <x:c r="B120" s="25" t="str">
        <x:v>待核</x:v>
      </x:c>
      <x:c r="C120" s="25" t="str">
        <x:v>【检索位】严明纪律与行为边界</x:v>
      </x:c>
      <x:c r="D120" s="25" t="str">
        <x:v>湖湘论坛</x:v>
      </x:c>
      <x:c r="E120" s="26" t="n">
        <x:v>2025</x:v>
      </x:c>
      <x:c r="F120" s="26" t="str">
        <x:v>待核</x:v>
      </x:c>
      <x:c r="G120" s="26" t="str">
        <x:v>待核</x:v>
      </x:c>
      <x:c r="H120" s="26" t="str">
        <x:v>待核：不得计入C刊统计</x:v>
      </x:c>
      <x:c r="I120" s="25" t="str">
        <x:v>纪律建设</x:v>
      </x:c>
      <x:c r="J120" s="25" t="str">
        <x:v>严明纪律与行为边界</x:v>
      </x:c>
      <x:c r="K120" s="25" t="str">
        <x:v>围绕核心关系形成判断</x:v>
      </x:c>
      <x:c r="L120" s="25" t="str">
        <x:v>专题检索/文本分析</x:v>
      </x:c>
      <x:c r="M120" s="25" t="str">
        <x:v>该行是待补全文的检索位，不是已确认题录</x:v>
      </x:c>
      <x:c r="N120" s="25" t="str">
        <x:v>待核候选</x:v>
      </x:c>
      <x:c r="O120" s="26" t="str">
        <x:v>待题录与全文核验</x:v>
      </x:c>
      <x:c r="P120" s="25" t="str"/>
    </x:row>
    <x:row r="121">
      <x:c r="A121" s="21" t="n">
        <x:v>120</x:v>
      </x:c>
      <x:c r="B121" s="25" t="str">
        <x:v>待核</x:v>
      </x:c>
      <x:c r="C121" s="25" t="str">
        <x:v>【检索位】三不腐一体推进</x:v>
      </x:c>
      <x:c r="D121" s="25" t="str">
        <x:v>山东社会科学</x:v>
      </x:c>
      <x:c r="E121" s="26" t="n">
        <x:v>2026</x:v>
      </x:c>
      <x:c r="F121" s="26" t="str">
        <x:v>待核</x:v>
      </x:c>
      <x:c r="G121" s="26" t="str">
        <x:v>待核</x:v>
      </x:c>
      <x:c r="H121" s="26" t="str">
        <x:v>待核：不得计入C刊统计</x:v>
      </x:c>
      <x:c r="I121" s="25" t="str">
        <x:v>反腐败</x:v>
      </x:c>
      <x:c r="J121" s="25" t="str">
        <x:v>三不腐一体推进</x:v>
      </x:c>
      <x:c r="K121" s="25" t="str">
        <x:v>围绕核心关系形成判断</x:v>
      </x:c>
      <x:c r="L121" s="25" t="str">
        <x:v>专题检索/文本分析</x:v>
      </x:c>
      <x:c r="M121" s="25" t="str">
        <x:v>该行是待补全文的检索位，不是已确认题录</x:v>
      </x:c>
      <x:c r="N121" s="25" t="str">
        <x:v>待核候选</x:v>
      </x:c>
      <x:c r="O121" s="26" t="str">
        <x:v>待题录与全文核验</x:v>
      </x:c>
      <x:c r="P121" s="25" t="str"/>
    </x:row>
    <x:row r="122">
      <x:c r="A122" s="21" t="n">
        <x:v>121</x:v>
      </x:c>
      <x:c r="B122" s="25" t="str">
        <x:v>待核</x:v>
      </x:c>
      <x:c r="C122" s="25" t="str">
        <x:v>【检索位】依规治党及制度执行</x:v>
      </x:c>
      <x:c r="D122" s="25" t="str">
        <x:v>社会科学战线</x:v>
      </x:c>
      <x:c r="E122" s="26" t="n">
        <x:v>2020</x:v>
      </x:c>
      <x:c r="F122" s="26" t="str">
        <x:v>待核</x:v>
      </x:c>
      <x:c r="G122" s="26" t="str">
        <x:v>待核</x:v>
      </x:c>
      <x:c r="H122" s="26" t="str">
        <x:v>待核：不得计入C刊统计</x:v>
      </x:c>
      <x:c r="I122" s="25" t="str">
        <x:v>制度治党</x:v>
      </x:c>
      <x:c r="J122" s="25" t="str">
        <x:v>依规治党及制度执行</x:v>
      </x:c>
      <x:c r="K122" s="25" t="str">
        <x:v>围绕核心关系形成判断</x:v>
      </x:c>
      <x:c r="L122" s="25" t="str">
        <x:v>专题检索/文本分析</x:v>
      </x:c>
      <x:c r="M122" s="25" t="str">
        <x:v>该行是待补全文的检索位，不是已确认题录</x:v>
      </x:c>
      <x:c r="N122" s="25" t="str">
        <x:v>待核候选</x:v>
      </x:c>
      <x:c r="O122" s="26" t="str">
        <x:v>待题录与全文核验</x:v>
      </x:c>
      <x:c r="P122" s="25" t="str"/>
    </x:row>
    <x:row r="123">
      <x:c r="A123" s="21" t="n">
        <x:v>122</x:v>
      </x:c>
      <x:c r="B123" s="25" t="str">
        <x:v>待核</x:v>
      </x:c>
      <x:c r="C123" s="25" t="str">
        <x:v>【检索位】责任链条与问责机制</x:v>
      </x:c>
      <x:c r="D123" s="25" t="str">
        <x:v>浙江社会科学</x:v>
      </x:c>
      <x:c r="E123" s="26" t="n">
        <x:v>2021</x:v>
      </x:c>
      <x:c r="F123" s="26" t="str">
        <x:v>待核</x:v>
      </x:c>
      <x:c r="G123" s="26" t="str">
        <x:v>待核</x:v>
      </x:c>
      <x:c r="H123" s="26" t="str">
        <x:v>待核：不得计入C刊统计</x:v>
      </x:c>
      <x:c r="I123" s="25" t="str">
        <x:v>政治责任</x:v>
      </x:c>
      <x:c r="J123" s="25" t="str">
        <x:v>责任链条与问责机制</x:v>
      </x:c>
      <x:c r="K123" s="25" t="str">
        <x:v>围绕核心关系形成判断</x:v>
      </x:c>
      <x:c r="L123" s="25" t="str">
        <x:v>专题检索/文本分析</x:v>
      </x:c>
      <x:c r="M123" s="25" t="str">
        <x:v>该行是待补全文的检索位，不是已确认题录</x:v>
      </x:c>
      <x:c r="N123" s="25" t="str">
        <x:v>待核候选</x:v>
      </x:c>
      <x:c r="O123" s="26" t="str">
        <x:v>待题录与全文核验</x:v>
      </x:c>
      <x:c r="P123" s="25" t="str"/>
    </x:row>
    <x:row r="124">
      <x:c r="A124" s="21" t="n">
        <x:v>123</x:v>
      </x:c>
      <x:c r="B124" s="25" t="str">
        <x:v>待核</x:v>
      </x:c>
      <x:c r="C124" s="25" t="str">
        <x:v>【检索位】跳出历史周期率第二个答案</x:v>
      </x:c>
      <x:c r="D124" s="25" t="str">
        <x:v>江汉论坛</x:v>
      </x:c>
      <x:c r="E124" s="26" t="n">
        <x:v>2022</x:v>
      </x:c>
      <x:c r="F124" s="26" t="str">
        <x:v>待核</x:v>
      </x:c>
      <x:c r="G124" s="26" t="str">
        <x:v>待核</x:v>
      </x:c>
      <x:c r="H124" s="26" t="str">
        <x:v>待核：不得计入C刊统计</x:v>
      </x:c>
      <x:c r="I124" s="25" t="str">
        <x:v>自我革命</x:v>
      </x:c>
      <x:c r="J124" s="25" t="str">
        <x:v>跳出历史周期率第二个答案</x:v>
      </x:c>
      <x:c r="K124" s="25" t="str">
        <x:v>围绕核心关系形成判断</x:v>
      </x:c>
      <x:c r="L124" s="25" t="str">
        <x:v>专题检索/文本分析</x:v>
      </x:c>
      <x:c r="M124" s="25" t="str">
        <x:v>该行是待补全文的检索位，不是已确认题录</x:v>
      </x:c>
      <x:c r="N124" s="25" t="str">
        <x:v>待核候选</x:v>
      </x:c>
      <x:c r="O124" s="26" t="str">
        <x:v>待题录与全文核验</x:v>
      </x:c>
      <x:c r="P124" s="25" t="str"/>
    </x:row>
    <x:row r="125">
      <x:c r="A125" s="21" t="n">
        <x:v>124</x:v>
      </x:c>
      <x:c r="B125" s="25" t="str">
        <x:v>待核</x:v>
      </x:c>
      <x:c r="C125" s="25" t="str">
        <x:v>【检索位】六个如何始终的现实回应</x:v>
      </x:c>
      <x:c r="D125" s="25" t="str">
        <x:v>东岳论丛</x:v>
      </x:c>
      <x:c r="E125" s="26" t="n">
        <x:v>2023</x:v>
      </x:c>
      <x:c r="F125" s="26" t="str">
        <x:v>待核</x:v>
      </x:c>
      <x:c r="G125" s="26" t="str">
        <x:v>待核</x:v>
      </x:c>
      <x:c r="H125" s="26" t="str">
        <x:v>待核：不得计入C刊统计</x:v>
      </x:c>
      <x:c r="I125" s="25" t="str">
        <x:v>大党难题</x:v>
      </x:c>
      <x:c r="J125" s="25" t="str">
        <x:v>六个如何始终的现实回应</x:v>
      </x:c>
      <x:c r="K125" s="25" t="str">
        <x:v>围绕核心关系形成判断</x:v>
      </x:c>
      <x:c r="L125" s="25" t="str">
        <x:v>专题检索/文本分析</x:v>
      </x:c>
      <x:c r="M125" s="25" t="str">
        <x:v>该行是待补全文的检索位，不是已确认题录</x:v>
      </x:c>
      <x:c r="N125" s="25" t="str">
        <x:v>待核候选</x:v>
      </x:c>
      <x:c r="O125" s="26" t="str">
        <x:v>待题录与全文核验</x:v>
      </x:c>
      <x:c r="P125" s="25" t="str"/>
    </x:row>
    <x:row r="126">
      <x:c r="A126" s="21" t="n">
        <x:v>125</x:v>
      </x:c>
      <x:c r="B126" s="25" t="str">
        <x:v>待核</x:v>
      </x:c>
      <x:c r="C126" s="25" t="str">
        <x:v>【检索位】十四个坚持的总分结构与逻辑主线</x:v>
      </x:c>
      <x:c r="D126" s="25" t="str">
        <x:v>马克思主义研究</x:v>
      </x:c>
      <x:c r="E126" s="26" t="n">
        <x:v>2024</x:v>
      </x:c>
      <x:c r="F126" s="26" t="str">
        <x:v>待核</x:v>
      </x:c>
      <x:c r="G126" s="26" t="str">
        <x:v>待核</x:v>
      </x:c>
      <x:c r="H126" s="26" t="str">
        <x:v>待核：不得计入C刊统计</x:v>
      </x:c>
      <x:c r="I126" s="25" t="str">
        <x:v>体系建构</x:v>
      </x:c>
      <x:c r="J126" s="25" t="str">
        <x:v>十四个坚持的总分结构与逻辑主线</x:v>
      </x:c>
      <x:c r="K126" s="25" t="str">
        <x:v>围绕核心关系形成判断</x:v>
      </x:c>
      <x:c r="L126" s="25" t="str">
        <x:v>专题检索/文本分析</x:v>
      </x:c>
      <x:c r="M126" s="25" t="str">
        <x:v>该行是待补全文的检索位，不是已确认题录</x:v>
      </x:c>
      <x:c r="N126" s="25" t="str">
        <x:v>待核候选</x:v>
      </x:c>
      <x:c r="O126" s="26" t="str">
        <x:v>待题录与全文核验</x:v>
      </x:c>
      <x:c r="P126" s="25" t="str"/>
    </x:row>
    <x:row r="127">
      <x:c r="A127" s="21" t="n">
        <x:v>126</x:v>
      </x:c>
      <x:c r="B127" s="25" t="str">
        <x:v>待核</x:v>
      </x:c>
      <x:c r="C127" s="25" t="str">
        <x:v>【检索位】马克思主义建党学说的继承发展</x:v>
      </x:c>
      <x:c r="D127" s="25" t="str">
        <x:v>教学与研究</x:v>
      </x:c>
      <x:c r="E127" s="26" t="n">
        <x:v>2025</x:v>
      </x:c>
      <x:c r="F127" s="26" t="str">
        <x:v>待核</x:v>
      </x:c>
      <x:c r="G127" s="26" t="str">
        <x:v>待核</x:v>
      </x:c>
      <x:c r="H127" s="26" t="str">
        <x:v>待核：不得计入C刊统计</x:v>
      </x:c>
      <x:c r="I127" s="25" t="str">
        <x:v>理论基础</x:v>
      </x:c>
      <x:c r="J127" s="25" t="str">
        <x:v>马克思主义建党学说的继承发展</x:v>
      </x:c>
      <x:c r="K127" s="25" t="str">
        <x:v>围绕核心关系形成判断</x:v>
      </x:c>
      <x:c r="L127" s="25" t="str">
        <x:v>专题检索/文本分析</x:v>
      </x:c>
      <x:c r="M127" s="25" t="str">
        <x:v>该行是待补全文的检索位，不是已确认题录</x:v>
      </x:c>
      <x:c r="N127" s="25" t="str">
        <x:v>待核候选</x:v>
      </x:c>
      <x:c r="O127" s="26" t="str">
        <x:v>待题录与全文核验</x:v>
      </x:c>
      <x:c r="P127" s="25" t="str"/>
    </x:row>
    <x:row r="128">
      <x:c r="A128" s="21" t="n">
        <x:v>127</x:v>
      </x:c>
      <x:c r="B128" s="25" t="str">
        <x:v>待核</x:v>
      </x:c>
      <x:c r="C128" s="25" t="str">
        <x:v>【检索位】中华优秀传统文化的创造性转化</x:v>
      </x:c>
      <x:c r="D128" s="25" t="str">
        <x:v>思想理论教育导刊</x:v>
      </x:c>
      <x:c r="E128" s="26" t="n">
        <x:v>2026</x:v>
      </x:c>
      <x:c r="F128" s="26" t="str">
        <x:v>待核</x:v>
      </x:c>
      <x:c r="G128" s="26" t="str">
        <x:v>待核</x:v>
      </x:c>
      <x:c r="H128" s="26" t="str">
        <x:v>待核：不得计入C刊统计</x:v>
      </x:c>
      <x:c r="I128" s="25" t="str">
        <x:v>第二个结合</x:v>
      </x:c>
      <x:c r="J128" s="25" t="str">
        <x:v>中华优秀传统文化的创造性转化</x:v>
      </x:c>
      <x:c r="K128" s="25" t="str">
        <x:v>围绕核心关系形成判断</x:v>
      </x:c>
      <x:c r="L128" s="25" t="str">
        <x:v>专题检索/文本分析</x:v>
      </x:c>
      <x:c r="M128" s="25" t="str">
        <x:v>该行是待补全文的检索位，不是已确认题录</x:v>
      </x:c>
      <x:c r="N128" s="25" t="str">
        <x:v>待核候选</x:v>
      </x:c>
      <x:c r="O128" s="26" t="str">
        <x:v>待题录与全文核验</x:v>
      </x:c>
      <x:c r="P128" s="25" t="str"/>
    </x:row>
    <x:row r="129">
      <x:c r="A129" s="21" t="n">
        <x:v>128</x:v>
      </x:c>
      <x:c r="B129" s="25" t="str">
        <x:v>待核</x:v>
      </x:c>
      <x:c r="C129" s="25" t="str">
        <x:v>【检索位】明体达用、体用贯通的哲学表达</x:v>
      </x:c>
      <x:c r="D129" s="25" t="str">
        <x:v>马克思主义理论学科研究</x:v>
      </x:c>
      <x:c r="E129" s="26" t="n">
        <x:v>2020</x:v>
      </x:c>
      <x:c r="F129" s="26" t="str">
        <x:v>待核</x:v>
      </x:c>
      <x:c r="G129" s="26" t="str">
        <x:v>待核</x:v>
      </x:c>
      <x:c r="H129" s="26" t="str">
        <x:v>待核：不得计入C刊统计</x:v>
      </x:c>
      <x:c r="I129" s="25" t="str">
        <x:v>体用关系</x:v>
      </x:c>
      <x:c r="J129" s="25" t="str">
        <x:v>明体达用、体用贯通的哲学表达</x:v>
      </x:c>
      <x:c r="K129" s="25" t="str">
        <x:v>围绕核心关系形成判断</x:v>
      </x:c>
      <x:c r="L129" s="25" t="str">
        <x:v>专题检索/文本分析</x:v>
      </x:c>
      <x:c r="M129" s="25" t="str">
        <x:v>该行是待补全文的检索位，不是已确认题录</x:v>
      </x:c>
      <x:c r="N129" s="25" t="str">
        <x:v>待核候选</x:v>
      </x:c>
      <x:c r="O129" s="26" t="str">
        <x:v>待题录与全文核验</x:v>
      </x:c>
      <x:c r="P129" s="25" t="str"/>
    </x:row>
    <x:row r="130">
      <x:c r="A130" s="21" t="n">
        <x:v>129</x:v>
      </x:c>
      <x:c r="B130" s="25" t="str">
        <x:v>待核</x:v>
      </x:c>
      <x:c r="C130" s="25" t="str">
        <x:v>【检索位】中国特色社会主义最本质特征</x:v>
      </x:c>
      <x:c r="D130" s="25" t="str">
        <x:v>中国特色社会主义研究</x:v>
      </x:c>
      <x:c r="E130" s="26" t="n">
        <x:v>2021</x:v>
      </x:c>
      <x:c r="F130" s="26" t="str">
        <x:v>待核</x:v>
      </x:c>
      <x:c r="G130" s="26" t="str">
        <x:v>待核</x:v>
      </x:c>
      <x:c r="H130" s="26" t="str">
        <x:v>待核：不得计入C刊统计</x:v>
      </x:c>
      <x:c r="I130" s="25" t="str">
        <x:v>党的领导</x:v>
      </x:c>
      <x:c r="J130" s="25" t="str">
        <x:v>中国特色社会主义最本质特征</x:v>
      </x:c>
      <x:c r="K130" s="25" t="str">
        <x:v>围绕核心关系形成判断</x:v>
      </x:c>
      <x:c r="L130" s="25" t="str">
        <x:v>专题检索/文本分析</x:v>
      </x:c>
      <x:c r="M130" s="25" t="str">
        <x:v>该行是待补全文的检索位，不是已确认题录</x:v>
      </x:c>
      <x:c r="N130" s="25" t="str">
        <x:v>待核候选</x:v>
      </x:c>
      <x:c r="O130" s="26" t="str">
        <x:v>待题录与全文核验</x:v>
      </x:c>
      <x:c r="P130" s="25" t="str"/>
    </x:row>
    <x:row r="131">
      <x:c r="A131" s="21" t="n">
        <x:v>130</x:v>
      </x:c>
      <x:c r="B131" s="25" t="str">
        <x:v>待核</x:v>
      </x:c>
      <x:c r="C131" s="25" t="str">
        <x:v>【检索位】最高政治原则的制度展开</x:v>
      </x:c>
      <x:c r="D131" s="25" t="str">
        <x:v>中共党史研究</x:v>
      </x:c>
      <x:c r="E131" s="26" t="n">
        <x:v>2022</x:v>
      </x:c>
      <x:c r="F131" s="26" t="str">
        <x:v>待核</x:v>
      </x:c>
      <x:c r="G131" s="26" t="str">
        <x:v>待核</x:v>
      </x:c>
      <x:c r="H131" s="26" t="str">
        <x:v>待核：不得计入C刊统计</x:v>
      </x:c>
      <x:c r="I131" s="25" t="str">
        <x:v>集中统一领导</x:v>
      </x:c>
      <x:c r="J131" s="25" t="str">
        <x:v>最高政治原则的制度展开</x:v>
      </x:c>
      <x:c r="K131" s="25" t="str">
        <x:v>围绕核心关系形成判断</x:v>
      </x:c>
      <x:c r="L131" s="25" t="str">
        <x:v>专题检索/文本分析</x:v>
      </x:c>
      <x:c r="M131" s="25" t="str">
        <x:v>该行是待补全文的检索位，不是已确认题录</x:v>
      </x:c>
      <x:c r="N131" s="25" t="str">
        <x:v>待核候选</x:v>
      </x:c>
      <x:c r="O131" s="26" t="str">
        <x:v>待题录与全文核验</x:v>
      </x:c>
      <x:c r="P131" s="25" t="str"/>
    </x:row>
    <x:row r="132">
      <x:c r="A132" s="21" t="n">
        <x:v>131</x:v>
      </x:c>
      <x:c r="B132" s="25" t="str">
        <x:v>待核</x:v>
      </x:c>
      <x:c r="C132" s="25" t="str">
        <x:v>【检索位】战略方针与体系化治理</x:v>
      </x:c>
      <x:c r="D132" s="25" t="str">
        <x:v>党的文献</x:v>
      </x:c>
      <x:c r="E132" s="26" t="n">
        <x:v>2023</x:v>
      </x:c>
      <x:c r="F132" s="26" t="str">
        <x:v>待核</x:v>
      </x:c>
      <x:c r="G132" s="26" t="str">
        <x:v>待核</x:v>
      </x:c>
      <x:c r="H132" s="26" t="str">
        <x:v>待核：不得计入C刊统计</x:v>
      </x:c>
      <x:c r="I132" s="25" t="str">
        <x:v>全面从严治党</x:v>
      </x:c>
      <x:c r="J132" s="25" t="str">
        <x:v>战略方针与体系化治理</x:v>
      </x:c>
      <x:c r="K132" s="25" t="str">
        <x:v>围绕核心关系形成判断</x:v>
      </x:c>
      <x:c r="L132" s="25" t="str">
        <x:v>专题检索/文本分析</x:v>
      </x:c>
      <x:c r="M132" s="25" t="str">
        <x:v>该行是待补全文的检索位，不是已确认题录</x:v>
      </x:c>
      <x:c r="N132" s="25" t="str">
        <x:v>待核候选</x:v>
      </x:c>
      <x:c r="O132" s="26" t="str">
        <x:v>待题录与全文核验</x:v>
      </x:c>
      <x:c r="P132" s="25" t="str"/>
    </x:row>
    <x:row r="133">
      <x:c r="A133" s="21" t="n">
        <x:v>132</x:v>
      </x:c>
      <x:c r="B133" s="25" t="str">
        <x:v>待核</x:v>
      </x:c>
      <x:c r="C133" s="25" t="str">
        <x:v>【检索位】价值立场与长期执政</x:v>
      </x:c>
      <x:c r="D133" s="25" t="str">
        <x:v>理论视野</x:v>
      </x:c>
      <x:c r="E133" s="26" t="n">
        <x:v>2024</x:v>
      </x:c>
      <x:c r="F133" s="26" t="str">
        <x:v>待核</x:v>
      </x:c>
      <x:c r="G133" s="26" t="str">
        <x:v>待核</x:v>
      </x:c>
      <x:c r="H133" s="26" t="str">
        <x:v>待核：不得计入C刊统计</x:v>
      </x:c>
      <x:c r="I133" s="25" t="str">
        <x:v>初心使命</x:v>
      </x:c>
      <x:c r="J133" s="25" t="str">
        <x:v>价值立场与长期执政</x:v>
      </x:c>
      <x:c r="K133" s="25" t="str">
        <x:v>围绕核心关系形成判断</x:v>
      </x:c>
      <x:c r="L133" s="25" t="str">
        <x:v>专题检索/文本分析</x:v>
      </x:c>
      <x:c r="M133" s="25" t="str">
        <x:v>该行是待补全文的检索位，不是已确认题录</x:v>
      </x:c>
      <x:c r="N133" s="25" t="str">
        <x:v>待核候选</x:v>
      </x:c>
      <x:c r="O133" s="26" t="str">
        <x:v>待题录与全文核验</x:v>
      </x:c>
      <x:c r="P133" s="25" t="str"/>
    </x:row>
    <x:row r="134">
      <x:c r="A134" s="21" t="n">
        <x:v>133</x:v>
      </x:c>
      <x:c r="B134" s="25" t="str">
        <x:v>待核</x:v>
      </x:c>
      <x:c r="C134" s="25" t="str">
        <x:v>【检索位】统领地位及其关系结构</x:v>
      </x:c>
      <x:c r="D134" s="25" t="str">
        <x:v>党政研究</x:v>
      </x:c>
      <x:c r="E134" s="26" t="n">
        <x:v>2025</x:v>
      </x:c>
      <x:c r="F134" s="26" t="str">
        <x:v>待核</x:v>
      </x:c>
      <x:c r="G134" s="26" t="str">
        <x:v>待核</x:v>
      </x:c>
      <x:c r="H134" s="26" t="str">
        <x:v>待核：不得计入C刊统计</x:v>
      </x:c>
      <x:c r="I134" s="25" t="str">
        <x:v>政治建设</x:v>
      </x:c>
      <x:c r="J134" s="25" t="str">
        <x:v>统领地位及其关系结构</x:v>
      </x:c>
      <x:c r="K134" s="25" t="str">
        <x:v>围绕核心关系形成判断</x:v>
      </x:c>
      <x:c r="L134" s="25" t="str">
        <x:v>专题检索/文本分析</x:v>
      </x:c>
      <x:c r="M134" s="25" t="str">
        <x:v>该行是待补全文的检索位，不是已确认题录</x:v>
      </x:c>
      <x:c r="N134" s="25" t="str">
        <x:v>待核候选</x:v>
      </x:c>
      <x:c r="O134" s="26" t="str">
        <x:v>待题录与全文核验</x:v>
      </x:c>
      <x:c r="P134" s="25" t="str"/>
    </x:row>
    <x:row r="135">
      <x:c r="A135" s="21" t="n">
        <x:v>134</x:v>
      </x:c>
      <x:c r="B135" s="25" t="str">
        <x:v>待核</x:v>
      </x:c>
      <x:c r="C135" s="25" t="str">
        <x:v>【检索位】凝心铸魂的认识论基础</x:v>
      </x:c>
      <x:c r="D135" s="25" t="str">
        <x:v>理论探讨</x:v>
      </x:c>
      <x:c r="E135" s="26" t="n">
        <x:v>2026</x:v>
      </x:c>
      <x:c r="F135" s="26" t="str">
        <x:v>待核</x:v>
      </x:c>
      <x:c r="G135" s="26" t="str">
        <x:v>待核</x:v>
      </x:c>
      <x:c r="H135" s="26" t="str">
        <x:v>待核：不得计入C刊统计</x:v>
      </x:c>
      <x:c r="I135" s="25" t="str">
        <x:v>理论武装</x:v>
      </x:c>
      <x:c r="J135" s="25" t="str">
        <x:v>凝心铸魂的认识论基础</x:v>
      </x:c>
      <x:c r="K135" s="25" t="str">
        <x:v>围绕核心关系形成判断</x:v>
      </x:c>
      <x:c r="L135" s="25" t="str">
        <x:v>专题检索/文本分析</x:v>
      </x:c>
      <x:c r="M135" s="25" t="str">
        <x:v>该行是待补全文的检索位，不是已确认题录</x:v>
      </x:c>
      <x:c r="N135" s="25" t="str">
        <x:v>待核候选</x:v>
      </x:c>
      <x:c r="O135" s="26" t="str">
        <x:v>待题录与全文核验</x:v>
      </x:c>
      <x:c r="P135" s="25" t="str"/>
    </x:row>
    <x:row r="136">
      <x:c r="A136" s="21" t="n">
        <x:v>135</x:v>
      </x:c>
      <x:c r="B136" s="25" t="str">
        <x:v>待核</x:v>
      </x:c>
      <x:c r="C136" s="25" t="str">
        <x:v>【检索位】党性修养与主体锻造</x:v>
      </x:c>
      <x:c r="D136" s="25" t="str">
        <x:v>理论导刊</x:v>
      </x:c>
      <x:c r="E136" s="26" t="n">
        <x:v>2020</x:v>
      </x:c>
      <x:c r="F136" s="26" t="str">
        <x:v>待核</x:v>
      </x:c>
      <x:c r="G136" s="26" t="str">
        <x:v>待核</x:v>
      </x:c>
      <x:c r="H136" s="26" t="str">
        <x:v>待核：不得计入C刊统计</x:v>
      </x:c>
      <x:c r="I136" s="25" t="str">
        <x:v>党性教育</x:v>
      </x:c>
      <x:c r="J136" s="25" t="str">
        <x:v>党性修养与主体锻造</x:v>
      </x:c>
      <x:c r="K136" s="25" t="str">
        <x:v>围绕核心关系形成判断</x:v>
      </x:c>
      <x:c r="L136" s="25" t="str">
        <x:v>专题检索/文本分析</x:v>
      </x:c>
      <x:c r="M136" s="25" t="str">
        <x:v>该行是待补全文的检索位，不是已确认题录</x:v>
      </x:c>
      <x:c r="N136" s="25" t="str">
        <x:v>待核候选</x:v>
      </x:c>
      <x:c r="O136" s="26" t="str">
        <x:v>待题录与全文核验</x:v>
      </x:c>
      <x:c r="P136" s="25" t="str"/>
    </x:row>
    <x:row r="137">
      <x:c r="A137" s="21" t="n">
        <x:v>136</x:v>
      </x:c>
      <x:c r="B137" s="25" t="str">
        <x:v>待核</x:v>
      </x:c>
      <x:c r="C137" s="25" t="str">
        <x:v>【检索位】上下贯通、执行有力</x:v>
      </x:c>
      <x:c r="D137" s="25" t="str">
        <x:v>学习与实践</x:v>
      </x:c>
      <x:c r="E137" s="26" t="n">
        <x:v>2021</x:v>
      </x:c>
      <x:c r="F137" s="26" t="str">
        <x:v>待核</x:v>
      </x:c>
      <x:c r="G137" s="26" t="str">
        <x:v>待核</x:v>
      </x:c>
      <x:c r="H137" s="26" t="str">
        <x:v>待核：不得计入C刊统计</x:v>
      </x:c>
      <x:c r="I137" s="25" t="str">
        <x:v>组织体系</x:v>
      </x:c>
      <x:c r="J137" s="25" t="str">
        <x:v>上下贯通、执行有力</x:v>
      </x:c>
      <x:c r="K137" s="25" t="str">
        <x:v>围绕核心关系形成判断</x:v>
      </x:c>
      <x:c r="L137" s="25" t="str">
        <x:v>专题检索/文本分析</x:v>
      </x:c>
      <x:c r="M137" s="25" t="str">
        <x:v>该行是待补全文的检索位，不是已确认题录</x:v>
      </x:c>
      <x:c r="N137" s="25" t="str">
        <x:v>待核候选</x:v>
      </x:c>
      <x:c r="O137" s="26" t="str">
        <x:v>待题录与全文核验</x:v>
      </x:c>
      <x:c r="P137" s="25" t="str"/>
    </x:row>
    <x:row r="138">
      <x:c r="A138" s="21" t="n">
        <x:v>137</x:v>
      </x:c>
      <x:c r="B138" s="25" t="str">
        <x:v>待核</x:v>
      </x:c>
      <x:c r="C138" s="25" t="str">
        <x:v>【检索位】选贤任能与政绩观</x:v>
      </x:c>
      <x:c r="D138" s="25" t="str">
        <x:v>探索</x:v>
      </x:c>
      <x:c r="E138" s="26" t="n">
        <x:v>2022</x:v>
      </x:c>
      <x:c r="F138" s="26" t="str">
        <x:v>待核</x:v>
      </x:c>
      <x:c r="G138" s="26" t="str">
        <x:v>待核</x:v>
      </x:c>
      <x:c r="H138" s="26" t="str">
        <x:v>待核：不得计入C刊统计</x:v>
      </x:c>
      <x:c r="I138" s="25" t="str">
        <x:v>干部队伍</x:v>
      </x:c>
      <x:c r="J138" s="25" t="str">
        <x:v>选贤任能与政绩观</x:v>
      </x:c>
      <x:c r="K138" s="25" t="str">
        <x:v>围绕核心关系形成判断</x:v>
      </x:c>
      <x:c r="L138" s="25" t="str">
        <x:v>专题检索/文本分析</x:v>
      </x:c>
      <x:c r="M138" s="25" t="str">
        <x:v>该行是待补全文的检索位，不是已确认题录</x:v>
      </x:c>
      <x:c r="N138" s="25" t="str">
        <x:v>待核候选</x:v>
      </x:c>
      <x:c r="O138" s="26" t="str">
        <x:v>待题录与全文核验</x:v>
      </x:c>
      <x:c r="P138" s="25" t="str"/>
    </x:row>
    <x:row r="139">
      <x:c r="A139" s="21" t="n">
        <x:v>138</x:v>
      </x:c>
      <x:c r="B139" s="25" t="str">
        <x:v>待核</x:v>
      </x:c>
      <x:c r="C139" s="25" t="str">
        <x:v>【检索位】常态化长效化</x:v>
      </x:c>
      <x:c r="D139" s="25" t="str">
        <x:v>求实</x:v>
      </x:c>
      <x:c r="E139" s="26" t="n">
        <x:v>2023</x:v>
      </x:c>
      <x:c r="F139" s="26" t="str">
        <x:v>待核</x:v>
      </x:c>
      <x:c r="G139" s="26" t="str">
        <x:v>待核</x:v>
      </x:c>
      <x:c r="H139" s="26" t="str">
        <x:v>待核：不得计入C刊统计</x:v>
      </x:c>
      <x:c r="I139" s="25" t="str">
        <x:v>作风建设</x:v>
      </x:c>
      <x:c r="J139" s="25" t="str">
        <x:v>常态化长效化</x:v>
      </x:c>
      <x:c r="K139" s="25" t="str">
        <x:v>围绕核心关系形成判断</x:v>
      </x:c>
      <x:c r="L139" s="25" t="str">
        <x:v>专题检索/文本分析</x:v>
      </x:c>
      <x:c r="M139" s="25" t="str">
        <x:v>该行是待补全文的检索位，不是已确认题录</x:v>
      </x:c>
      <x:c r="N139" s="25" t="str">
        <x:v>待核候选</x:v>
      </x:c>
      <x:c r="O139" s="26" t="str">
        <x:v>待题录与全文核验</x:v>
      </x:c>
      <x:c r="P139" s="25" t="str"/>
    </x:row>
    <x:row r="140">
      <x:c r="A140" s="21" t="n">
        <x:v>139</x:v>
      </x:c>
      <x:c r="B140" s="25" t="str">
        <x:v>待核</x:v>
      </x:c>
      <x:c r="C140" s="25" t="str">
        <x:v>【检索位】严明纪律与行为边界</x:v>
      </x:c>
      <x:c r="D140" s="25" t="str">
        <x:v>湖湘论坛</x:v>
      </x:c>
      <x:c r="E140" s="26" t="n">
        <x:v>2024</x:v>
      </x:c>
      <x:c r="F140" s="26" t="str">
        <x:v>待核</x:v>
      </x:c>
      <x:c r="G140" s="26" t="str">
        <x:v>待核</x:v>
      </x:c>
      <x:c r="H140" s="26" t="str">
        <x:v>待核：不得计入C刊统计</x:v>
      </x:c>
      <x:c r="I140" s="25" t="str">
        <x:v>纪律建设</x:v>
      </x:c>
      <x:c r="J140" s="25" t="str">
        <x:v>严明纪律与行为边界</x:v>
      </x:c>
      <x:c r="K140" s="25" t="str">
        <x:v>围绕核心关系形成判断</x:v>
      </x:c>
      <x:c r="L140" s="25" t="str">
        <x:v>专题检索/文本分析</x:v>
      </x:c>
      <x:c r="M140" s="25" t="str">
        <x:v>该行是待补全文的检索位，不是已确认题录</x:v>
      </x:c>
      <x:c r="N140" s="25" t="str">
        <x:v>待核候选</x:v>
      </x:c>
      <x:c r="O140" s="26" t="str">
        <x:v>待题录与全文核验</x:v>
      </x:c>
      <x:c r="P140" s="25" t="str"/>
    </x:row>
    <x:row r="141">
      <x:c r="A141" s="21" t="n">
        <x:v>140</x:v>
      </x:c>
      <x:c r="B141" s="25" t="str">
        <x:v>待核</x:v>
      </x:c>
      <x:c r="C141" s="25" t="str">
        <x:v>【检索位】三不腐一体推进</x:v>
      </x:c>
      <x:c r="D141" s="25" t="str">
        <x:v>山东社会科学</x:v>
      </x:c>
      <x:c r="E141" s="26" t="n">
        <x:v>2025</x:v>
      </x:c>
      <x:c r="F141" s="26" t="str">
        <x:v>待核</x:v>
      </x:c>
      <x:c r="G141" s="26" t="str">
        <x:v>待核</x:v>
      </x:c>
      <x:c r="H141" s="26" t="str">
        <x:v>待核：不得计入C刊统计</x:v>
      </x:c>
      <x:c r="I141" s="25" t="str">
        <x:v>反腐败</x:v>
      </x:c>
      <x:c r="J141" s="25" t="str">
        <x:v>三不腐一体推进</x:v>
      </x:c>
      <x:c r="K141" s="25" t="str">
        <x:v>围绕核心关系形成判断</x:v>
      </x:c>
      <x:c r="L141" s="25" t="str">
        <x:v>专题检索/文本分析</x:v>
      </x:c>
      <x:c r="M141" s="25" t="str">
        <x:v>该行是待补全文的检索位，不是已确认题录</x:v>
      </x:c>
      <x:c r="N141" s="25" t="str">
        <x:v>待核候选</x:v>
      </x:c>
      <x:c r="O141" s="26" t="str">
        <x:v>待题录与全文核验</x:v>
      </x:c>
      <x:c r="P141" s="25" t="str"/>
    </x:row>
    <x:row r="142">
      <x:c r="A142" s="21" t="n">
        <x:v>141</x:v>
      </x:c>
      <x:c r="B142" s="25" t="str">
        <x:v>待核</x:v>
      </x:c>
      <x:c r="C142" s="25" t="str">
        <x:v>【检索位】依规治党及制度执行</x:v>
      </x:c>
      <x:c r="D142" s="25" t="str">
        <x:v>社会科学战线</x:v>
      </x:c>
      <x:c r="E142" s="26" t="n">
        <x:v>2026</x:v>
      </x:c>
      <x:c r="F142" s="26" t="str">
        <x:v>待核</x:v>
      </x:c>
      <x:c r="G142" s="26" t="str">
        <x:v>待核</x:v>
      </x:c>
      <x:c r="H142" s="26" t="str">
        <x:v>待核：不得计入C刊统计</x:v>
      </x:c>
      <x:c r="I142" s="25" t="str">
        <x:v>制度治党</x:v>
      </x:c>
      <x:c r="J142" s="25" t="str">
        <x:v>依规治党及制度执行</x:v>
      </x:c>
      <x:c r="K142" s="25" t="str">
        <x:v>围绕核心关系形成判断</x:v>
      </x:c>
      <x:c r="L142" s="25" t="str">
        <x:v>专题检索/文本分析</x:v>
      </x:c>
      <x:c r="M142" s="25" t="str">
        <x:v>该行是待补全文的检索位，不是已确认题录</x:v>
      </x:c>
      <x:c r="N142" s="25" t="str">
        <x:v>待核候选</x:v>
      </x:c>
      <x:c r="O142" s="26" t="str">
        <x:v>待题录与全文核验</x:v>
      </x:c>
      <x:c r="P142" s="25" t="str"/>
    </x:row>
    <x:row r="143">
      <x:c r="A143" s="21" t="n">
        <x:v>142</x:v>
      </x:c>
      <x:c r="B143" s="25" t="str">
        <x:v>待核</x:v>
      </x:c>
      <x:c r="C143" s="25" t="str">
        <x:v>【检索位】责任链条与问责机制</x:v>
      </x:c>
      <x:c r="D143" s="25" t="str">
        <x:v>浙江社会科学</x:v>
      </x:c>
      <x:c r="E143" s="26" t="n">
        <x:v>2020</x:v>
      </x:c>
      <x:c r="F143" s="26" t="str">
        <x:v>待核</x:v>
      </x:c>
      <x:c r="G143" s="26" t="str">
        <x:v>待核</x:v>
      </x:c>
      <x:c r="H143" s="26" t="str">
        <x:v>待核：不得计入C刊统计</x:v>
      </x:c>
      <x:c r="I143" s="25" t="str">
        <x:v>政治责任</x:v>
      </x:c>
      <x:c r="J143" s="25" t="str">
        <x:v>责任链条与问责机制</x:v>
      </x:c>
      <x:c r="K143" s="25" t="str">
        <x:v>围绕核心关系形成判断</x:v>
      </x:c>
      <x:c r="L143" s="25" t="str">
        <x:v>专题检索/文本分析</x:v>
      </x:c>
      <x:c r="M143" s="25" t="str">
        <x:v>该行是待补全文的检索位，不是已确认题录</x:v>
      </x:c>
      <x:c r="N143" s="25" t="str">
        <x:v>待核候选</x:v>
      </x:c>
      <x:c r="O143" s="26" t="str">
        <x:v>待题录与全文核验</x:v>
      </x:c>
      <x:c r="P143" s="25" t="str"/>
    </x:row>
    <x:row r="144">
      <x:c r="A144" s="21" t="n">
        <x:v>143</x:v>
      </x:c>
      <x:c r="B144" s="25" t="str">
        <x:v>待核</x:v>
      </x:c>
      <x:c r="C144" s="25" t="str">
        <x:v>【检索位】跳出历史周期率第二个答案</x:v>
      </x:c>
      <x:c r="D144" s="25" t="str">
        <x:v>江汉论坛</x:v>
      </x:c>
      <x:c r="E144" s="26" t="n">
        <x:v>2021</x:v>
      </x:c>
      <x:c r="F144" s="26" t="str">
        <x:v>待核</x:v>
      </x:c>
      <x:c r="G144" s="26" t="str">
        <x:v>待核</x:v>
      </x:c>
      <x:c r="H144" s="26" t="str">
        <x:v>待核：不得计入C刊统计</x:v>
      </x:c>
      <x:c r="I144" s="25" t="str">
        <x:v>自我革命</x:v>
      </x:c>
      <x:c r="J144" s="25" t="str">
        <x:v>跳出历史周期率第二个答案</x:v>
      </x:c>
      <x:c r="K144" s="25" t="str">
        <x:v>围绕核心关系形成判断</x:v>
      </x:c>
      <x:c r="L144" s="25" t="str">
        <x:v>专题检索/文本分析</x:v>
      </x:c>
      <x:c r="M144" s="25" t="str">
        <x:v>该行是待补全文的检索位，不是已确认题录</x:v>
      </x:c>
      <x:c r="N144" s="25" t="str">
        <x:v>待核候选</x:v>
      </x:c>
      <x:c r="O144" s="26" t="str">
        <x:v>待题录与全文核验</x:v>
      </x:c>
      <x:c r="P144" s="25" t="str"/>
    </x:row>
    <x:row r="145">
      <x:c r="A145" s="21" t="n">
        <x:v>144</x:v>
      </x:c>
      <x:c r="B145" s="25" t="str">
        <x:v>待核</x:v>
      </x:c>
      <x:c r="C145" s="25" t="str">
        <x:v>【检索位】六个如何始终的现实回应</x:v>
      </x:c>
      <x:c r="D145" s="25" t="str">
        <x:v>东岳论丛</x:v>
      </x:c>
      <x:c r="E145" s="26" t="n">
        <x:v>2022</x:v>
      </x:c>
      <x:c r="F145" s="26" t="str">
        <x:v>待核</x:v>
      </x:c>
      <x:c r="G145" s="26" t="str">
        <x:v>待核</x:v>
      </x:c>
      <x:c r="H145" s="26" t="str">
        <x:v>待核：不得计入C刊统计</x:v>
      </x:c>
      <x:c r="I145" s="25" t="str">
        <x:v>大党难题</x:v>
      </x:c>
      <x:c r="J145" s="25" t="str">
        <x:v>六个如何始终的现实回应</x:v>
      </x:c>
      <x:c r="K145" s="25" t="str">
        <x:v>围绕核心关系形成判断</x:v>
      </x:c>
      <x:c r="L145" s="25" t="str">
        <x:v>专题检索/文本分析</x:v>
      </x:c>
      <x:c r="M145" s="25" t="str">
        <x:v>该行是待补全文的检索位，不是已确认题录</x:v>
      </x:c>
      <x:c r="N145" s="25" t="str">
        <x:v>待核候选</x:v>
      </x:c>
      <x:c r="O145" s="26" t="str">
        <x:v>待题录与全文核验</x:v>
      </x:c>
      <x:c r="P145" s="25" t="str"/>
    </x:row>
    <x:row r="146">
      <x:c r="A146" s="21" t="n">
        <x:v>145</x:v>
      </x:c>
      <x:c r="B146" s="25" t="str">
        <x:v>待核</x:v>
      </x:c>
      <x:c r="C146" s="25" t="str">
        <x:v>【检索位】十四个坚持的总分结构与逻辑主线</x:v>
      </x:c>
      <x:c r="D146" s="25" t="str">
        <x:v>马克思主义研究</x:v>
      </x:c>
      <x:c r="E146" s="26" t="n">
        <x:v>2023</x:v>
      </x:c>
      <x:c r="F146" s="26" t="str">
        <x:v>待核</x:v>
      </x:c>
      <x:c r="G146" s="26" t="str">
        <x:v>待核</x:v>
      </x:c>
      <x:c r="H146" s="26" t="str">
        <x:v>待核：不得计入C刊统计</x:v>
      </x:c>
      <x:c r="I146" s="25" t="str">
        <x:v>体系建构</x:v>
      </x:c>
      <x:c r="J146" s="25" t="str">
        <x:v>十四个坚持的总分结构与逻辑主线</x:v>
      </x:c>
      <x:c r="K146" s="25" t="str">
        <x:v>围绕核心关系形成判断</x:v>
      </x:c>
      <x:c r="L146" s="25" t="str">
        <x:v>专题检索/文本分析</x:v>
      </x:c>
      <x:c r="M146" s="25" t="str">
        <x:v>该行是待补全文的检索位，不是已确认题录</x:v>
      </x:c>
      <x:c r="N146" s="25" t="str">
        <x:v>待核候选</x:v>
      </x:c>
      <x:c r="O146" s="26" t="str">
        <x:v>待题录与全文核验</x:v>
      </x:c>
      <x:c r="P146" s="25" t="str"/>
    </x:row>
    <x:row r="147">
      <x:c r="A147" s="21" t="n">
        <x:v>146</x:v>
      </x:c>
      <x:c r="B147" s="25" t="str">
        <x:v>待核</x:v>
      </x:c>
      <x:c r="C147" s="25" t="str">
        <x:v>【检索位】马克思主义建党学说的继承发展</x:v>
      </x:c>
      <x:c r="D147" s="25" t="str">
        <x:v>教学与研究</x:v>
      </x:c>
      <x:c r="E147" s="26" t="n">
        <x:v>2024</x:v>
      </x:c>
      <x:c r="F147" s="26" t="str">
        <x:v>待核</x:v>
      </x:c>
      <x:c r="G147" s="26" t="str">
        <x:v>待核</x:v>
      </x:c>
      <x:c r="H147" s="26" t="str">
        <x:v>待核：不得计入C刊统计</x:v>
      </x:c>
      <x:c r="I147" s="25" t="str">
        <x:v>理论基础</x:v>
      </x:c>
      <x:c r="J147" s="25" t="str">
        <x:v>马克思主义建党学说的继承发展</x:v>
      </x:c>
      <x:c r="K147" s="25" t="str">
        <x:v>围绕核心关系形成判断</x:v>
      </x:c>
      <x:c r="L147" s="25" t="str">
        <x:v>专题检索/文本分析</x:v>
      </x:c>
      <x:c r="M147" s="25" t="str">
        <x:v>该行是待补全文的检索位，不是已确认题录</x:v>
      </x:c>
      <x:c r="N147" s="25" t="str">
        <x:v>待核候选</x:v>
      </x:c>
      <x:c r="O147" s="26" t="str">
        <x:v>待题录与全文核验</x:v>
      </x:c>
      <x:c r="P147" s="25" t="str"/>
    </x:row>
    <x:row r="148">
      <x:c r="A148" s="21" t="n">
        <x:v>147</x:v>
      </x:c>
      <x:c r="B148" s="25" t="str">
        <x:v>待核</x:v>
      </x:c>
      <x:c r="C148" s="25" t="str">
        <x:v>【检索位】中华优秀传统文化的创造性转化</x:v>
      </x:c>
      <x:c r="D148" s="25" t="str">
        <x:v>思想理论教育导刊</x:v>
      </x:c>
      <x:c r="E148" s="26" t="n">
        <x:v>2025</x:v>
      </x:c>
      <x:c r="F148" s="26" t="str">
        <x:v>待核</x:v>
      </x:c>
      <x:c r="G148" s="26" t="str">
        <x:v>待核</x:v>
      </x:c>
      <x:c r="H148" s="26" t="str">
        <x:v>待核：不得计入C刊统计</x:v>
      </x:c>
      <x:c r="I148" s="25" t="str">
        <x:v>第二个结合</x:v>
      </x:c>
      <x:c r="J148" s="25" t="str">
        <x:v>中华优秀传统文化的创造性转化</x:v>
      </x:c>
      <x:c r="K148" s="25" t="str">
        <x:v>围绕核心关系形成判断</x:v>
      </x:c>
      <x:c r="L148" s="25" t="str">
        <x:v>专题检索/文本分析</x:v>
      </x:c>
      <x:c r="M148" s="25" t="str">
        <x:v>该行是待补全文的检索位，不是已确认题录</x:v>
      </x:c>
      <x:c r="N148" s="25" t="str">
        <x:v>待核候选</x:v>
      </x:c>
      <x:c r="O148" s="26" t="str">
        <x:v>待题录与全文核验</x:v>
      </x:c>
      <x:c r="P148" s="25" t="str"/>
    </x:row>
    <x:row r="149">
      <x:c r="A149" s="21" t="n">
        <x:v>148</x:v>
      </x:c>
      <x:c r="B149" s="25" t="str">
        <x:v>待核</x:v>
      </x:c>
      <x:c r="C149" s="25" t="str">
        <x:v>【检索位】明体达用、体用贯通的哲学表达</x:v>
      </x:c>
      <x:c r="D149" s="25" t="str">
        <x:v>马克思主义理论学科研究</x:v>
      </x:c>
      <x:c r="E149" s="26" t="n">
        <x:v>2026</x:v>
      </x:c>
      <x:c r="F149" s="26" t="str">
        <x:v>待核</x:v>
      </x:c>
      <x:c r="G149" s="26" t="str">
        <x:v>待核</x:v>
      </x:c>
      <x:c r="H149" s="26" t="str">
        <x:v>待核：不得计入C刊统计</x:v>
      </x:c>
      <x:c r="I149" s="25" t="str">
        <x:v>体用关系</x:v>
      </x:c>
      <x:c r="J149" s="25" t="str">
        <x:v>明体达用、体用贯通的哲学表达</x:v>
      </x:c>
      <x:c r="K149" s="25" t="str">
        <x:v>围绕核心关系形成判断</x:v>
      </x:c>
      <x:c r="L149" s="25" t="str">
        <x:v>专题检索/文本分析</x:v>
      </x:c>
      <x:c r="M149" s="25" t="str">
        <x:v>该行是待补全文的检索位，不是已确认题录</x:v>
      </x:c>
      <x:c r="N149" s="25" t="str">
        <x:v>待核候选</x:v>
      </x:c>
      <x:c r="O149" s="26" t="str">
        <x:v>待题录与全文核验</x:v>
      </x:c>
      <x:c r="P149" s="25" t="str"/>
    </x:row>
    <x:row r="150">
      <x:c r="A150" s="21" t="n">
        <x:v>149</x:v>
      </x:c>
      <x:c r="B150" s="25" t="str">
        <x:v>待核</x:v>
      </x:c>
      <x:c r="C150" s="25" t="str">
        <x:v>【检索位】中国特色社会主义最本质特征</x:v>
      </x:c>
      <x:c r="D150" s="25" t="str">
        <x:v>中国特色社会主义研究</x:v>
      </x:c>
      <x:c r="E150" s="26" t="n">
        <x:v>2020</x:v>
      </x:c>
      <x:c r="F150" s="26" t="str">
        <x:v>待核</x:v>
      </x:c>
      <x:c r="G150" s="26" t="str">
        <x:v>待核</x:v>
      </x:c>
      <x:c r="H150" s="26" t="str">
        <x:v>待核：不得计入C刊统计</x:v>
      </x:c>
      <x:c r="I150" s="25" t="str">
        <x:v>党的领导</x:v>
      </x:c>
      <x:c r="J150" s="25" t="str">
        <x:v>中国特色社会主义最本质特征</x:v>
      </x:c>
      <x:c r="K150" s="25" t="str">
        <x:v>围绕核心关系形成判断</x:v>
      </x:c>
      <x:c r="L150" s="25" t="str">
        <x:v>专题检索/文本分析</x:v>
      </x:c>
      <x:c r="M150" s="25" t="str">
        <x:v>该行是待补全文的检索位，不是已确认题录</x:v>
      </x:c>
      <x:c r="N150" s="25" t="str">
        <x:v>待核候选</x:v>
      </x:c>
      <x:c r="O150" s="26" t="str">
        <x:v>待题录与全文核验</x:v>
      </x:c>
      <x:c r="P150" s="25" t="str"/>
    </x:row>
    <x:row r="151">
      <x:c r="A151" s="21" t="n">
        <x:v>150</x:v>
      </x:c>
      <x:c r="B151" s="25" t="str">
        <x:v>待核</x:v>
      </x:c>
      <x:c r="C151" s="25" t="str">
        <x:v>【检索位】最高政治原则的制度展开</x:v>
      </x:c>
      <x:c r="D151" s="25" t="str">
        <x:v>中共党史研究</x:v>
      </x:c>
      <x:c r="E151" s="26" t="n">
        <x:v>2021</x:v>
      </x:c>
      <x:c r="F151" s="26" t="str">
        <x:v>待核</x:v>
      </x:c>
      <x:c r="G151" s="26" t="str">
        <x:v>待核</x:v>
      </x:c>
      <x:c r="H151" s="26" t="str">
        <x:v>待核：不得计入C刊统计</x:v>
      </x:c>
      <x:c r="I151" s="25" t="str">
        <x:v>集中统一领导</x:v>
      </x:c>
      <x:c r="J151" s="25" t="str">
        <x:v>最高政治原则的制度展开</x:v>
      </x:c>
      <x:c r="K151" s="25" t="str">
        <x:v>围绕核心关系形成判断</x:v>
      </x:c>
      <x:c r="L151" s="25" t="str">
        <x:v>专题检索/文本分析</x:v>
      </x:c>
      <x:c r="M151" s="25" t="str">
        <x:v>该行是待补全文的检索位，不是已确认题录</x:v>
      </x:c>
      <x:c r="N151" s="25" t="str">
        <x:v>待核候选</x:v>
      </x:c>
      <x:c r="O151" s="26" t="str">
        <x:v>待题录与全文核验</x:v>
      </x:c>
      <x:c r="P151" s="25" t="str"/>
    </x:row>
    <x:row r="152">
      <x:c r="A152" s="21" t="n">
        <x:v>151</x:v>
      </x:c>
      <x:c r="B152" s="25" t="str">
        <x:v>待核</x:v>
      </x:c>
      <x:c r="C152" s="25" t="str">
        <x:v>【检索位】战略方针与体系化治理</x:v>
      </x:c>
      <x:c r="D152" s="25" t="str">
        <x:v>党的文献</x:v>
      </x:c>
      <x:c r="E152" s="26" t="n">
        <x:v>2022</x:v>
      </x:c>
      <x:c r="F152" s="26" t="str">
        <x:v>待核</x:v>
      </x:c>
      <x:c r="G152" s="26" t="str">
        <x:v>待核</x:v>
      </x:c>
      <x:c r="H152" s="26" t="str">
        <x:v>待核：不得计入C刊统计</x:v>
      </x:c>
      <x:c r="I152" s="25" t="str">
        <x:v>全面从严治党</x:v>
      </x:c>
      <x:c r="J152" s="25" t="str">
        <x:v>战略方针与体系化治理</x:v>
      </x:c>
      <x:c r="K152" s="25" t="str">
        <x:v>围绕核心关系形成判断</x:v>
      </x:c>
      <x:c r="L152" s="25" t="str">
        <x:v>专题检索/文本分析</x:v>
      </x:c>
      <x:c r="M152" s="25" t="str">
        <x:v>该行是待补全文的检索位，不是已确认题录</x:v>
      </x:c>
      <x:c r="N152" s="25" t="str">
        <x:v>待核候选</x:v>
      </x:c>
      <x:c r="O152" s="26" t="str">
        <x:v>待题录与全文核验</x:v>
      </x:c>
      <x:c r="P152" s="25" t="str"/>
    </x:row>
    <x:row r="153">
      <x:c r="A153" s="21" t="n">
        <x:v>152</x:v>
      </x:c>
      <x:c r="B153" s="25" t="str">
        <x:v>待核</x:v>
      </x:c>
      <x:c r="C153" s="25" t="str">
        <x:v>【检索位】价值立场与长期执政</x:v>
      </x:c>
      <x:c r="D153" s="25" t="str">
        <x:v>理论视野</x:v>
      </x:c>
      <x:c r="E153" s="26" t="n">
        <x:v>2023</x:v>
      </x:c>
      <x:c r="F153" s="26" t="str">
        <x:v>待核</x:v>
      </x:c>
      <x:c r="G153" s="26" t="str">
        <x:v>待核</x:v>
      </x:c>
      <x:c r="H153" s="26" t="str">
        <x:v>待核：不得计入C刊统计</x:v>
      </x:c>
      <x:c r="I153" s="25" t="str">
        <x:v>初心使命</x:v>
      </x:c>
      <x:c r="J153" s="25" t="str">
        <x:v>价值立场与长期执政</x:v>
      </x:c>
      <x:c r="K153" s="25" t="str">
        <x:v>围绕核心关系形成判断</x:v>
      </x:c>
      <x:c r="L153" s="25" t="str">
        <x:v>专题检索/文本分析</x:v>
      </x:c>
      <x:c r="M153" s="25" t="str">
        <x:v>该行是待补全文的检索位，不是已确认题录</x:v>
      </x:c>
      <x:c r="N153" s="25" t="str">
        <x:v>待核候选</x:v>
      </x:c>
      <x:c r="O153" s="26" t="str">
        <x:v>待题录与全文核验</x:v>
      </x:c>
      <x:c r="P153" s="25" t="str"/>
    </x:row>
    <x:row r="154">
      <x:c r="A154" s="21" t="n">
        <x:v>153</x:v>
      </x:c>
      <x:c r="B154" s="25" t="str">
        <x:v>待核</x:v>
      </x:c>
      <x:c r="C154" s="25" t="str">
        <x:v>【检索位】统领地位及其关系结构</x:v>
      </x:c>
      <x:c r="D154" s="25" t="str">
        <x:v>党政研究</x:v>
      </x:c>
      <x:c r="E154" s="26" t="n">
        <x:v>2024</x:v>
      </x:c>
      <x:c r="F154" s="26" t="str">
        <x:v>待核</x:v>
      </x:c>
      <x:c r="G154" s="26" t="str">
        <x:v>待核</x:v>
      </x:c>
      <x:c r="H154" s="26" t="str">
        <x:v>待核：不得计入C刊统计</x:v>
      </x:c>
      <x:c r="I154" s="25" t="str">
        <x:v>政治建设</x:v>
      </x:c>
      <x:c r="J154" s="25" t="str">
        <x:v>统领地位及其关系结构</x:v>
      </x:c>
      <x:c r="K154" s="25" t="str">
        <x:v>围绕核心关系形成判断</x:v>
      </x:c>
      <x:c r="L154" s="25" t="str">
        <x:v>专题检索/文本分析</x:v>
      </x:c>
      <x:c r="M154" s="25" t="str">
        <x:v>该行是待补全文的检索位，不是已确认题录</x:v>
      </x:c>
      <x:c r="N154" s="25" t="str">
        <x:v>待核候选</x:v>
      </x:c>
      <x:c r="O154" s="26" t="str">
        <x:v>待题录与全文核验</x:v>
      </x:c>
      <x:c r="P154" s="25" t="str"/>
    </x:row>
    <x:row r="155">
      <x:c r="A155" s="21" t="n">
        <x:v>154</x:v>
      </x:c>
      <x:c r="B155" s="25" t="str">
        <x:v>待核</x:v>
      </x:c>
      <x:c r="C155" s="25" t="str">
        <x:v>【检索位】凝心铸魂的认识论基础</x:v>
      </x:c>
      <x:c r="D155" s="25" t="str">
        <x:v>理论探讨</x:v>
      </x:c>
      <x:c r="E155" s="26" t="n">
        <x:v>2025</x:v>
      </x:c>
      <x:c r="F155" s="26" t="str">
        <x:v>待核</x:v>
      </x:c>
      <x:c r="G155" s="26" t="str">
        <x:v>待核</x:v>
      </x:c>
      <x:c r="H155" s="26" t="str">
        <x:v>待核：不得计入C刊统计</x:v>
      </x:c>
      <x:c r="I155" s="25" t="str">
        <x:v>理论武装</x:v>
      </x:c>
      <x:c r="J155" s="25" t="str">
        <x:v>凝心铸魂的认识论基础</x:v>
      </x:c>
      <x:c r="K155" s="25" t="str">
        <x:v>围绕核心关系形成判断</x:v>
      </x:c>
      <x:c r="L155" s="25" t="str">
        <x:v>专题检索/文本分析</x:v>
      </x:c>
      <x:c r="M155" s="25" t="str">
        <x:v>该行是待补全文的检索位，不是已确认题录</x:v>
      </x:c>
      <x:c r="N155" s="25" t="str">
        <x:v>待核候选</x:v>
      </x:c>
      <x:c r="O155" s="26" t="str">
        <x:v>待题录与全文核验</x:v>
      </x:c>
      <x:c r="P155" s="25" t="str"/>
    </x:row>
    <x:row r="156">
      <x:c r="A156" s="21" t="n">
        <x:v>155</x:v>
      </x:c>
      <x:c r="B156" s="25" t="str">
        <x:v>待核</x:v>
      </x:c>
      <x:c r="C156" s="25" t="str">
        <x:v>【检索位】党性修养与主体锻造</x:v>
      </x:c>
      <x:c r="D156" s="25" t="str">
        <x:v>理论导刊</x:v>
      </x:c>
      <x:c r="E156" s="26" t="n">
        <x:v>2026</x:v>
      </x:c>
      <x:c r="F156" s="26" t="str">
        <x:v>待核</x:v>
      </x:c>
      <x:c r="G156" s="26" t="str">
        <x:v>待核</x:v>
      </x:c>
      <x:c r="H156" s="26" t="str">
        <x:v>待核：不得计入C刊统计</x:v>
      </x:c>
      <x:c r="I156" s="25" t="str">
        <x:v>党性教育</x:v>
      </x:c>
      <x:c r="J156" s="25" t="str">
        <x:v>党性修养与主体锻造</x:v>
      </x:c>
      <x:c r="K156" s="25" t="str">
        <x:v>围绕核心关系形成判断</x:v>
      </x:c>
      <x:c r="L156" s="25" t="str">
        <x:v>专题检索/文本分析</x:v>
      </x:c>
      <x:c r="M156" s="25" t="str">
        <x:v>该行是待补全文的检索位，不是已确认题录</x:v>
      </x:c>
      <x:c r="N156" s="25" t="str">
        <x:v>待核候选</x:v>
      </x:c>
      <x:c r="O156" s="26" t="str">
        <x:v>待题录与全文核验</x:v>
      </x:c>
      <x:c r="P156" s="25" t="str"/>
    </x:row>
    <x:row r="157">
      <x:c r="A157" s="21" t="n">
        <x:v>156</x:v>
      </x:c>
      <x:c r="B157" s="25" t="str">
        <x:v>待核</x:v>
      </x:c>
      <x:c r="C157" s="25" t="str">
        <x:v>【检索位】上下贯通、执行有力</x:v>
      </x:c>
      <x:c r="D157" s="25" t="str">
        <x:v>学习与实践</x:v>
      </x:c>
      <x:c r="E157" s="26" t="n">
        <x:v>2020</x:v>
      </x:c>
      <x:c r="F157" s="26" t="str">
        <x:v>待核</x:v>
      </x:c>
      <x:c r="G157" s="26" t="str">
        <x:v>待核</x:v>
      </x:c>
      <x:c r="H157" s="26" t="str">
        <x:v>待核：不得计入C刊统计</x:v>
      </x:c>
      <x:c r="I157" s="25" t="str">
        <x:v>组织体系</x:v>
      </x:c>
      <x:c r="J157" s="25" t="str">
        <x:v>上下贯通、执行有力</x:v>
      </x:c>
      <x:c r="K157" s="25" t="str">
        <x:v>围绕核心关系形成判断</x:v>
      </x:c>
      <x:c r="L157" s="25" t="str">
        <x:v>专题检索/文本分析</x:v>
      </x:c>
      <x:c r="M157" s="25" t="str">
        <x:v>该行是待补全文的检索位，不是已确认题录</x:v>
      </x:c>
      <x:c r="N157" s="25" t="str">
        <x:v>待核候选</x:v>
      </x:c>
      <x:c r="O157" s="26" t="str">
        <x:v>待题录与全文核验</x:v>
      </x:c>
      <x:c r="P157" s="25" t="str"/>
    </x:row>
    <x:row r="158">
      <x:c r="A158" s="21" t="n">
        <x:v>157</x:v>
      </x:c>
      <x:c r="B158" s="25" t="str">
        <x:v>待核</x:v>
      </x:c>
      <x:c r="C158" s="25" t="str">
        <x:v>【检索位】选贤任能与政绩观</x:v>
      </x:c>
      <x:c r="D158" s="25" t="str">
        <x:v>探索</x:v>
      </x:c>
      <x:c r="E158" s="26" t="n">
        <x:v>2021</x:v>
      </x:c>
      <x:c r="F158" s="26" t="str">
        <x:v>待核</x:v>
      </x:c>
      <x:c r="G158" s="26" t="str">
        <x:v>待核</x:v>
      </x:c>
      <x:c r="H158" s="26" t="str">
        <x:v>待核：不得计入C刊统计</x:v>
      </x:c>
      <x:c r="I158" s="25" t="str">
        <x:v>干部队伍</x:v>
      </x:c>
      <x:c r="J158" s="25" t="str">
        <x:v>选贤任能与政绩观</x:v>
      </x:c>
      <x:c r="K158" s="25" t="str">
        <x:v>围绕核心关系形成判断</x:v>
      </x:c>
      <x:c r="L158" s="25" t="str">
        <x:v>专题检索/文本分析</x:v>
      </x:c>
      <x:c r="M158" s="25" t="str">
        <x:v>该行是待补全文的检索位，不是已确认题录</x:v>
      </x:c>
      <x:c r="N158" s="25" t="str">
        <x:v>待核候选</x:v>
      </x:c>
      <x:c r="O158" s="26" t="str">
        <x:v>待题录与全文核验</x:v>
      </x:c>
      <x:c r="P158" s="25" t="str"/>
    </x:row>
    <x:row r="159">
      <x:c r="A159" s="21" t="n">
        <x:v>158</x:v>
      </x:c>
      <x:c r="B159" s="25" t="str">
        <x:v>待核</x:v>
      </x:c>
      <x:c r="C159" s="25" t="str">
        <x:v>【检索位】常态化长效化</x:v>
      </x:c>
      <x:c r="D159" s="25" t="str">
        <x:v>求实</x:v>
      </x:c>
      <x:c r="E159" s="26" t="n">
        <x:v>2022</x:v>
      </x:c>
      <x:c r="F159" s="26" t="str">
        <x:v>待核</x:v>
      </x:c>
      <x:c r="G159" s="26" t="str">
        <x:v>待核</x:v>
      </x:c>
      <x:c r="H159" s="26" t="str">
        <x:v>待核：不得计入C刊统计</x:v>
      </x:c>
      <x:c r="I159" s="25" t="str">
        <x:v>作风建设</x:v>
      </x:c>
      <x:c r="J159" s="25" t="str">
        <x:v>常态化长效化</x:v>
      </x:c>
      <x:c r="K159" s="25" t="str">
        <x:v>围绕核心关系形成判断</x:v>
      </x:c>
      <x:c r="L159" s="25" t="str">
        <x:v>专题检索/文本分析</x:v>
      </x:c>
      <x:c r="M159" s="25" t="str">
        <x:v>该行是待补全文的检索位，不是已确认题录</x:v>
      </x:c>
      <x:c r="N159" s="25" t="str">
        <x:v>待核候选</x:v>
      </x:c>
      <x:c r="O159" s="26" t="str">
        <x:v>待题录与全文核验</x:v>
      </x:c>
      <x:c r="P159" s="25" t="str"/>
    </x:row>
    <x:row r="160">
      <x:c r="A160" s="21" t="n">
        <x:v>159</x:v>
      </x:c>
      <x:c r="B160" s="25" t="str">
        <x:v>待核</x:v>
      </x:c>
      <x:c r="C160" s="25" t="str">
        <x:v>【检索位】严明纪律与行为边界</x:v>
      </x:c>
      <x:c r="D160" s="25" t="str">
        <x:v>湖湘论坛</x:v>
      </x:c>
      <x:c r="E160" s="26" t="n">
        <x:v>2023</x:v>
      </x:c>
      <x:c r="F160" s="26" t="str">
        <x:v>待核</x:v>
      </x:c>
      <x:c r="G160" s="26" t="str">
        <x:v>待核</x:v>
      </x:c>
      <x:c r="H160" s="26" t="str">
        <x:v>待核：不得计入C刊统计</x:v>
      </x:c>
      <x:c r="I160" s="25" t="str">
        <x:v>纪律建设</x:v>
      </x:c>
      <x:c r="J160" s="25" t="str">
        <x:v>严明纪律与行为边界</x:v>
      </x:c>
      <x:c r="K160" s="25" t="str">
        <x:v>围绕核心关系形成判断</x:v>
      </x:c>
      <x:c r="L160" s="25" t="str">
        <x:v>专题检索/文本分析</x:v>
      </x:c>
      <x:c r="M160" s="25" t="str">
        <x:v>该行是待补全文的检索位，不是已确认题录</x:v>
      </x:c>
      <x:c r="N160" s="25" t="str">
        <x:v>待核候选</x:v>
      </x:c>
      <x:c r="O160" s="26" t="str">
        <x:v>待题录与全文核验</x:v>
      </x:c>
      <x:c r="P160" s="25" t="str"/>
    </x:row>
    <x:row r="161">
      <x:c r="A161" s="21" t="n">
        <x:v>160</x:v>
      </x:c>
      <x:c r="B161" s="25" t="str">
        <x:v>待核</x:v>
      </x:c>
      <x:c r="C161" s="25" t="str">
        <x:v>【检索位】三不腐一体推进</x:v>
      </x:c>
      <x:c r="D161" s="25" t="str">
        <x:v>山东社会科学</x:v>
      </x:c>
      <x:c r="E161" s="26" t="n">
        <x:v>2024</x:v>
      </x:c>
      <x:c r="F161" s="26" t="str">
        <x:v>待核</x:v>
      </x:c>
      <x:c r="G161" s="26" t="str">
        <x:v>待核</x:v>
      </x:c>
      <x:c r="H161" s="26" t="str">
        <x:v>待核：不得计入C刊统计</x:v>
      </x:c>
      <x:c r="I161" s="25" t="str">
        <x:v>反腐败</x:v>
      </x:c>
      <x:c r="J161" s="25" t="str">
        <x:v>三不腐一体推进</x:v>
      </x:c>
      <x:c r="K161" s="25" t="str">
        <x:v>围绕核心关系形成判断</x:v>
      </x:c>
      <x:c r="L161" s="25" t="str">
        <x:v>专题检索/文本分析</x:v>
      </x:c>
      <x:c r="M161" s="25" t="str">
        <x:v>该行是待补全文的检索位，不是已确认题录</x:v>
      </x:c>
      <x:c r="N161" s="25" t="str">
        <x:v>待核候选</x:v>
      </x:c>
      <x:c r="O161" s="26" t="str">
        <x:v>待题录与全文核验</x:v>
      </x:c>
      <x:c r="P161" s="25" t="str"/>
    </x:row>
    <x:row r="162">
      <x:c r="A162" s="21" t="n">
        <x:v>161</x:v>
      </x:c>
      <x:c r="B162" s="25" t="str">
        <x:v>待核</x:v>
      </x:c>
      <x:c r="C162" s="25" t="str">
        <x:v>【检索位】依规治党及制度执行</x:v>
      </x:c>
      <x:c r="D162" s="25" t="str">
        <x:v>社会科学战线</x:v>
      </x:c>
      <x:c r="E162" s="26" t="n">
        <x:v>2025</x:v>
      </x:c>
      <x:c r="F162" s="26" t="str">
        <x:v>待核</x:v>
      </x:c>
      <x:c r="G162" s="26" t="str">
        <x:v>待核</x:v>
      </x:c>
      <x:c r="H162" s="26" t="str">
        <x:v>待核：不得计入C刊统计</x:v>
      </x:c>
      <x:c r="I162" s="25" t="str">
        <x:v>制度治党</x:v>
      </x:c>
      <x:c r="J162" s="25" t="str">
        <x:v>依规治党及制度执行</x:v>
      </x:c>
      <x:c r="K162" s="25" t="str">
        <x:v>围绕核心关系形成判断</x:v>
      </x:c>
      <x:c r="L162" s="25" t="str">
        <x:v>专题检索/文本分析</x:v>
      </x:c>
      <x:c r="M162" s="25" t="str">
        <x:v>该行是待补全文的检索位，不是已确认题录</x:v>
      </x:c>
      <x:c r="N162" s="25" t="str">
        <x:v>待核候选</x:v>
      </x:c>
      <x:c r="O162" s="26" t="str">
        <x:v>待题录与全文核验</x:v>
      </x:c>
      <x:c r="P162" s="25" t="str"/>
    </x:row>
    <x:row r="163">
      <x:c r="A163" s="21" t="n">
        <x:v>162</x:v>
      </x:c>
      <x:c r="B163" s="25" t="str">
        <x:v>待核</x:v>
      </x:c>
      <x:c r="C163" s="25" t="str">
        <x:v>【检索位】责任链条与问责机制</x:v>
      </x:c>
      <x:c r="D163" s="25" t="str">
        <x:v>浙江社会科学</x:v>
      </x:c>
      <x:c r="E163" s="26" t="n">
        <x:v>2026</x:v>
      </x:c>
      <x:c r="F163" s="26" t="str">
        <x:v>待核</x:v>
      </x:c>
      <x:c r="G163" s="26" t="str">
        <x:v>待核</x:v>
      </x:c>
      <x:c r="H163" s="26" t="str">
        <x:v>待核：不得计入C刊统计</x:v>
      </x:c>
      <x:c r="I163" s="25" t="str">
        <x:v>政治责任</x:v>
      </x:c>
      <x:c r="J163" s="25" t="str">
        <x:v>责任链条与问责机制</x:v>
      </x:c>
      <x:c r="K163" s="25" t="str">
        <x:v>围绕核心关系形成判断</x:v>
      </x:c>
      <x:c r="L163" s="25" t="str">
        <x:v>专题检索/文本分析</x:v>
      </x:c>
      <x:c r="M163" s="25" t="str">
        <x:v>该行是待补全文的检索位，不是已确认题录</x:v>
      </x:c>
      <x:c r="N163" s="25" t="str">
        <x:v>待核候选</x:v>
      </x:c>
      <x:c r="O163" s="26" t="str">
        <x:v>待题录与全文核验</x:v>
      </x:c>
      <x:c r="P163" s="25" t="str"/>
    </x:row>
    <x:row r="164">
      <x:c r="A164" s="21" t="n">
        <x:v>163</x:v>
      </x:c>
      <x:c r="B164" s="25" t="str">
        <x:v>待核</x:v>
      </x:c>
      <x:c r="C164" s="25" t="str">
        <x:v>【检索位】跳出历史周期率第二个答案</x:v>
      </x:c>
      <x:c r="D164" s="25" t="str">
        <x:v>江汉论坛</x:v>
      </x:c>
      <x:c r="E164" s="26" t="n">
        <x:v>2020</x:v>
      </x:c>
      <x:c r="F164" s="26" t="str">
        <x:v>待核</x:v>
      </x:c>
      <x:c r="G164" s="26" t="str">
        <x:v>待核</x:v>
      </x:c>
      <x:c r="H164" s="26" t="str">
        <x:v>待核：不得计入C刊统计</x:v>
      </x:c>
      <x:c r="I164" s="25" t="str">
        <x:v>自我革命</x:v>
      </x:c>
      <x:c r="J164" s="25" t="str">
        <x:v>跳出历史周期率第二个答案</x:v>
      </x:c>
      <x:c r="K164" s="25" t="str">
        <x:v>围绕核心关系形成判断</x:v>
      </x:c>
      <x:c r="L164" s="25" t="str">
        <x:v>专题检索/文本分析</x:v>
      </x:c>
      <x:c r="M164" s="25" t="str">
        <x:v>该行是待补全文的检索位，不是已确认题录</x:v>
      </x:c>
      <x:c r="N164" s="25" t="str">
        <x:v>待核候选</x:v>
      </x:c>
      <x:c r="O164" s="26" t="str">
        <x:v>待题录与全文核验</x:v>
      </x:c>
      <x:c r="P164" s="25" t="str"/>
    </x:row>
    <x:row r="165">
      <x:c r="A165" s="21" t="n">
        <x:v>164</x:v>
      </x:c>
      <x:c r="B165" s="25" t="str">
        <x:v>待核</x:v>
      </x:c>
      <x:c r="C165" s="25" t="str">
        <x:v>【检索位】六个如何始终的现实回应</x:v>
      </x:c>
      <x:c r="D165" s="25" t="str">
        <x:v>东岳论丛</x:v>
      </x:c>
      <x:c r="E165" s="26" t="n">
        <x:v>2021</x:v>
      </x:c>
      <x:c r="F165" s="26" t="str">
        <x:v>待核</x:v>
      </x:c>
      <x:c r="G165" s="26" t="str">
        <x:v>待核</x:v>
      </x:c>
      <x:c r="H165" s="26" t="str">
        <x:v>待核：不得计入C刊统计</x:v>
      </x:c>
      <x:c r="I165" s="25" t="str">
        <x:v>大党难题</x:v>
      </x:c>
      <x:c r="J165" s="25" t="str">
        <x:v>六个如何始终的现实回应</x:v>
      </x:c>
      <x:c r="K165" s="25" t="str">
        <x:v>围绕核心关系形成判断</x:v>
      </x:c>
      <x:c r="L165" s="25" t="str">
        <x:v>专题检索/文本分析</x:v>
      </x:c>
      <x:c r="M165" s="25" t="str">
        <x:v>该行是待补全文的检索位，不是已确认题录</x:v>
      </x:c>
      <x:c r="N165" s="25" t="str">
        <x:v>待核候选</x:v>
      </x:c>
      <x:c r="O165" s="26" t="str">
        <x:v>待题录与全文核验</x:v>
      </x:c>
      <x:c r="P165" s="25" t="str"/>
    </x:row>
    <x:row r="166">
      <x:c r="A166" s="21" t="n">
        <x:v>165</x:v>
      </x:c>
      <x:c r="B166" s="25" t="str">
        <x:v>待核</x:v>
      </x:c>
      <x:c r="C166" s="25" t="str">
        <x:v>【检索位】十四个坚持的总分结构与逻辑主线</x:v>
      </x:c>
      <x:c r="D166" s="25" t="str">
        <x:v>马克思主义研究</x:v>
      </x:c>
      <x:c r="E166" s="26" t="n">
        <x:v>2022</x:v>
      </x:c>
      <x:c r="F166" s="26" t="str">
        <x:v>待核</x:v>
      </x:c>
      <x:c r="G166" s="26" t="str">
        <x:v>待核</x:v>
      </x:c>
      <x:c r="H166" s="26" t="str">
        <x:v>待核：不得计入C刊统计</x:v>
      </x:c>
      <x:c r="I166" s="25" t="str">
        <x:v>体系建构</x:v>
      </x:c>
      <x:c r="J166" s="25" t="str">
        <x:v>十四个坚持的总分结构与逻辑主线</x:v>
      </x:c>
      <x:c r="K166" s="25" t="str">
        <x:v>围绕核心关系形成判断</x:v>
      </x:c>
      <x:c r="L166" s="25" t="str">
        <x:v>专题检索/文本分析</x:v>
      </x:c>
      <x:c r="M166" s="25" t="str">
        <x:v>该行是待补全文的检索位，不是已确认题录</x:v>
      </x:c>
      <x:c r="N166" s="25" t="str">
        <x:v>待核候选</x:v>
      </x:c>
      <x:c r="O166" s="26" t="str">
        <x:v>待题录与全文核验</x:v>
      </x:c>
      <x:c r="P166" s="25" t="str"/>
    </x:row>
    <x:row r="167">
      <x:c r="A167" s="21" t="n">
        <x:v>166</x:v>
      </x:c>
      <x:c r="B167" s="25" t="str">
        <x:v>待核</x:v>
      </x:c>
      <x:c r="C167" s="25" t="str">
        <x:v>【检索位】马克思主义建党学说的继承发展</x:v>
      </x:c>
      <x:c r="D167" s="25" t="str">
        <x:v>教学与研究</x:v>
      </x:c>
      <x:c r="E167" s="26" t="n">
        <x:v>2023</x:v>
      </x:c>
      <x:c r="F167" s="26" t="str">
        <x:v>待核</x:v>
      </x:c>
      <x:c r="G167" s="26" t="str">
        <x:v>待核</x:v>
      </x:c>
      <x:c r="H167" s="26" t="str">
        <x:v>待核：不得计入C刊统计</x:v>
      </x:c>
      <x:c r="I167" s="25" t="str">
        <x:v>理论基础</x:v>
      </x:c>
      <x:c r="J167" s="25" t="str">
        <x:v>马克思主义建党学说的继承发展</x:v>
      </x:c>
      <x:c r="K167" s="25" t="str">
        <x:v>围绕核心关系形成判断</x:v>
      </x:c>
      <x:c r="L167" s="25" t="str">
        <x:v>专题检索/文本分析</x:v>
      </x:c>
      <x:c r="M167" s="25" t="str">
        <x:v>该行是待补全文的检索位，不是已确认题录</x:v>
      </x:c>
      <x:c r="N167" s="25" t="str">
        <x:v>待核候选</x:v>
      </x:c>
      <x:c r="O167" s="26" t="str">
        <x:v>待题录与全文核验</x:v>
      </x:c>
      <x:c r="P167" s="25" t="str"/>
    </x:row>
    <x:row r="168">
      <x:c r="A168" s="21" t="n">
        <x:v>167</x:v>
      </x:c>
      <x:c r="B168" s="25" t="str">
        <x:v>待核</x:v>
      </x:c>
      <x:c r="C168" s="25" t="str">
        <x:v>【检索位】中华优秀传统文化的创造性转化</x:v>
      </x:c>
      <x:c r="D168" s="25" t="str">
        <x:v>思想理论教育导刊</x:v>
      </x:c>
      <x:c r="E168" s="26" t="n">
        <x:v>2024</x:v>
      </x:c>
      <x:c r="F168" s="26" t="str">
        <x:v>待核</x:v>
      </x:c>
      <x:c r="G168" s="26" t="str">
        <x:v>待核</x:v>
      </x:c>
      <x:c r="H168" s="26" t="str">
        <x:v>待核：不得计入C刊统计</x:v>
      </x:c>
      <x:c r="I168" s="25" t="str">
        <x:v>第二个结合</x:v>
      </x:c>
      <x:c r="J168" s="25" t="str">
        <x:v>中华优秀传统文化的创造性转化</x:v>
      </x:c>
      <x:c r="K168" s="25" t="str">
        <x:v>围绕核心关系形成判断</x:v>
      </x:c>
      <x:c r="L168" s="25" t="str">
        <x:v>专题检索/文本分析</x:v>
      </x:c>
      <x:c r="M168" s="25" t="str">
        <x:v>该行是待补全文的检索位，不是已确认题录</x:v>
      </x:c>
      <x:c r="N168" s="25" t="str">
        <x:v>待核候选</x:v>
      </x:c>
      <x:c r="O168" s="26" t="str">
        <x:v>待题录与全文核验</x:v>
      </x:c>
      <x:c r="P168" s="25" t="str"/>
    </x:row>
    <x:row r="169">
      <x:c r="A169" s="21" t="n">
        <x:v>168</x:v>
      </x:c>
      <x:c r="B169" s="25" t="str">
        <x:v>待核</x:v>
      </x:c>
      <x:c r="C169" s="25" t="str">
        <x:v>【检索位】明体达用、体用贯通的哲学表达</x:v>
      </x:c>
      <x:c r="D169" s="25" t="str">
        <x:v>马克思主义理论学科研究</x:v>
      </x:c>
      <x:c r="E169" s="26" t="n">
        <x:v>2025</x:v>
      </x:c>
      <x:c r="F169" s="26" t="str">
        <x:v>待核</x:v>
      </x:c>
      <x:c r="G169" s="26" t="str">
        <x:v>待核</x:v>
      </x:c>
      <x:c r="H169" s="26" t="str">
        <x:v>待核：不得计入C刊统计</x:v>
      </x:c>
      <x:c r="I169" s="25" t="str">
        <x:v>体用关系</x:v>
      </x:c>
      <x:c r="J169" s="25" t="str">
        <x:v>明体达用、体用贯通的哲学表达</x:v>
      </x:c>
      <x:c r="K169" s="25" t="str">
        <x:v>围绕核心关系形成判断</x:v>
      </x:c>
      <x:c r="L169" s="25" t="str">
        <x:v>专题检索/文本分析</x:v>
      </x:c>
      <x:c r="M169" s="25" t="str">
        <x:v>该行是待补全文的检索位，不是已确认题录</x:v>
      </x:c>
      <x:c r="N169" s="25" t="str">
        <x:v>待核候选</x:v>
      </x:c>
      <x:c r="O169" s="26" t="str">
        <x:v>待题录与全文核验</x:v>
      </x:c>
      <x:c r="P169" s="25" t="str"/>
    </x:row>
    <x:row r="170">
      <x:c r="A170" s="21" t="n">
        <x:v>169</x:v>
      </x:c>
      <x:c r="B170" s="25" t="str">
        <x:v>待核</x:v>
      </x:c>
      <x:c r="C170" s="25" t="str">
        <x:v>【检索位】中国特色社会主义最本质特征</x:v>
      </x:c>
      <x:c r="D170" s="25" t="str">
        <x:v>中国特色社会主义研究</x:v>
      </x:c>
      <x:c r="E170" s="26" t="n">
        <x:v>2026</x:v>
      </x:c>
      <x:c r="F170" s="26" t="str">
        <x:v>待核</x:v>
      </x:c>
      <x:c r="G170" s="26" t="str">
        <x:v>待核</x:v>
      </x:c>
      <x:c r="H170" s="26" t="str">
        <x:v>待核：不得计入C刊统计</x:v>
      </x:c>
      <x:c r="I170" s="25" t="str">
        <x:v>党的领导</x:v>
      </x:c>
      <x:c r="J170" s="25" t="str">
        <x:v>中国特色社会主义最本质特征</x:v>
      </x:c>
      <x:c r="K170" s="25" t="str">
        <x:v>围绕核心关系形成判断</x:v>
      </x:c>
      <x:c r="L170" s="25" t="str">
        <x:v>专题检索/文本分析</x:v>
      </x:c>
      <x:c r="M170" s="25" t="str">
        <x:v>该行是待补全文的检索位，不是已确认题录</x:v>
      </x:c>
      <x:c r="N170" s="25" t="str">
        <x:v>待核候选</x:v>
      </x:c>
      <x:c r="O170" s="26" t="str">
        <x:v>待题录与全文核验</x:v>
      </x:c>
      <x:c r="P170" s="25" t="str"/>
    </x:row>
    <x:row r="171">
      <x:c r="A171" s="21" t="n">
        <x:v>170</x:v>
      </x:c>
      <x:c r="B171" s="25" t="str">
        <x:v>待核</x:v>
      </x:c>
      <x:c r="C171" s="25" t="str">
        <x:v>【检索位】最高政治原则的制度展开</x:v>
      </x:c>
      <x:c r="D171" s="25" t="str">
        <x:v>中共党史研究</x:v>
      </x:c>
      <x:c r="E171" s="26" t="n">
        <x:v>2020</x:v>
      </x:c>
      <x:c r="F171" s="26" t="str">
        <x:v>待核</x:v>
      </x:c>
      <x:c r="G171" s="26" t="str">
        <x:v>待核</x:v>
      </x:c>
      <x:c r="H171" s="26" t="str">
        <x:v>待核：不得计入C刊统计</x:v>
      </x:c>
      <x:c r="I171" s="25" t="str">
        <x:v>集中统一领导</x:v>
      </x:c>
      <x:c r="J171" s="25" t="str">
        <x:v>最高政治原则的制度展开</x:v>
      </x:c>
      <x:c r="K171" s="25" t="str">
        <x:v>围绕核心关系形成判断</x:v>
      </x:c>
      <x:c r="L171" s="25" t="str">
        <x:v>专题检索/文本分析</x:v>
      </x:c>
      <x:c r="M171" s="25" t="str">
        <x:v>该行是待补全文的检索位，不是已确认题录</x:v>
      </x:c>
      <x:c r="N171" s="25" t="str">
        <x:v>待核候选</x:v>
      </x:c>
      <x:c r="O171" s="26" t="str">
        <x:v>待题录与全文核验</x:v>
      </x:c>
      <x:c r="P171" s="25" t="str"/>
    </x:row>
    <x:row r="172">
      <x:c r="A172" s="21" t="n">
        <x:v>171</x:v>
      </x:c>
      <x:c r="B172" s="25" t="str">
        <x:v>待核</x:v>
      </x:c>
      <x:c r="C172" s="25" t="str">
        <x:v>【检索位】战略方针与体系化治理</x:v>
      </x:c>
      <x:c r="D172" s="25" t="str">
        <x:v>党的文献</x:v>
      </x:c>
      <x:c r="E172" s="26" t="n">
        <x:v>2021</x:v>
      </x:c>
      <x:c r="F172" s="26" t="str">
        <x:v>待核</x:v>
      </x:c>
      <x:c r="G172" s="26" t="str">
        <x:v>待核</x:v>
      </x:c>
      <x:c r="H172" s="26" t="str">
        <x:v>待核：不得计入C刊统计</x:v>
      </x:c>
      <x:c r="I172" s="25" t="str">
        <x:v>全面从严治党</x:v>
      </x:c>
      <x:c r="J172" s="25" t="str">
        <x:v>战略方针与体系化治理</x:v>
      </x:c>
      <x:c r="K172" s="25" t="str">
        <x:v>围绕核心关系形成判断</x:v>
      </x:c>
      <x:c r="L172" s="25" t="str">
        <x:v>专题检索/文本分析</x:v>
      </x:c>
      <x:c r="M172" s="25" t="str">
        <x:v>该行是待补全文的检索位，不是已确认题录</x:v>
      </x:c>
      <x:c r="N172" s="25" t="str">
        <x:v>待核候选</x:v>
      </x:c>
      <x:c r="O172" s="26" t="str">
        <x:v>待题录与全文核验</x:v>
      </x:c>
      <x:c r="P172" s="25" t="str"/>
    </x:row>
    <x:row r="173">
      <x:c r="A173" s="21" t="n">
        <x:v>172</x:v>
      </x:c>
      <x:c r="B173" s="25" t="str">
        <x:v>待核</x:v>
      </x:c>
      <x:c r="C173" s="25" t="str">
        <x:v>【检索位】价值立场与长期执政</x:v>
      </x:c>
      <x:c r="D173" s="25" t="str">
        <x:v>理论视野</x:v>
      </x:c>
      <x:c r="E173" s="26" t="n">
        <x:v>2022</x:v>
      </x:c>
      <x:c r="F173" s="26" t="str">
        <x:v>待核</x:v>
      </x:c>
      <x:c r="G173" s="26" t="str">
        <x:v>待核</x:v>
      </x:c>
      <x:c r="H173" s="26" t="str">
        <x:v>待核：不得计入C刊统计</x:v>
      </x:c>
      <x:c r="I173" s="25" t="str">
        <x:v>初心使命</x:v>
      </x:c>
      <x:c r="J173" s="25" t="str">
        <x:v>价值立场与长期执政</x:v>
      </x:c>
      <x:c r="K173" s="25" t="str">
        <x:v>围绕核心关系形成判断</x:v>
      </x:c>
      <x:c r="L173" s="25" t="str">
        <x:v>专题检索/文本分析</x:v>
      </x:c>
      <x:c r="M173" s="25" t="str">
        <x:v>该行是待补全文的检索位，不是已确认题录</x:v>
      </x:c>
      <x:c r="N173" s="25" t="str">
        <x:v>待核候选</x:v>
      </x:c>
      <x:c r="O173" s="26" t="str">
        <x:v>待题录与全文核验</x:v>
      </x:c>
      <x:c r="P173" s="25" t="str"/>
    </x:row>
    <x:row r="174">
      <x:c r="A174" s="21" t="n">
        <x:v>173</x:v>
      </x:c>
      <x:c r="B174" s="25" t="str">
        <x:v>待核</x:v>
      </x:c>
      <x:c r="C174" s="25" t="str">
        <x:v>【检索位】统领地位及其关系结构</x:v>
      </x:c>
      <x:c r="D174" s="25" t="str">
        <x:v>党政研究</x:v>
      </x:c>
      <x:c r="E174" s="26" t="n">
        <x:v>2023</x:v>
      </x:c>
      <x:c r="F174" s="26" t="str">
        <x:v>待核</x:v>
      </x:c>
      <x:c r="G174" s="26" t="str">
        <x:v>待核</x:v>
      </x:c>
      <x:c r="H174" s="26" t="str">
        <x:v>待核：不得计入C刊统计</x:v>
      </x:c>
      <x:c r="I174" s="25" t="str">
        <x:v>政治建设</x:v>
      </x:c>
      <x:c r="J174" s="25" t="str">
        <x:v>统领地位及其关系结构</x:v>
      </x:c>
      <x:c r="K174" s="25" t="str">
        <x:v>围绕核心关系形成判断</x:v>
      </x:c>
      <x:c r="L174" s="25" t="str">
        <x:v>专题检索/文本分析</x:v>
      </x:c>
      <x:c r="M174" s="25" t="str">
        <x:v>该行是待补全文的检索位，不是已确认题录</x:v>
      </x:c>
      <x:c r="N174" s="25" t="str">
        <x:v>待核候选</x:v>
      </x:c>
      <x:c r="O174" s="26" t="str">
        <x:v>待题录与全文核验</x:v>
      </x:c>
      <x:c r="P174" s="25" t="str"/>
    </x:row>
    <x:row r="175">
      <x:c r="A175" s="21" t="n">
        <x:v>174</x:v>
      </x:c>
      <x:c r="B175" s="25" t="str">
        <x:v>待核</x:v>
      </x:c>
      <x:c r="C175" s="25" t="str">
        <x:v>【检索位】凝心铸魂的认识论基础</x:v>
      </x:c>
      <x:c r="D175" s="25" t="str">
        <x:v>理论探讨</x:v>
      </x:c>
      <x:c r="E175" s="26" t="n">
        <x:v>2024</x:v>
      </x:c>
      <x:c r="F175" s="26" t="str">
        <x:v>待核</x:v>
      </x:c>
      <x:c r="G175" s="26" t="str">
        <x:v>待核</x:v>
      </x:c>
      <x:c r="H175" s="26" t="str">
        <x:v>待核：不得计入C刊统计</x:v>
      </x:c>
      <x:c r="I175" s="25" t="str">
        <x:v>理论武装</x:v>
      </x:c>
      <x:c r="J175" s="25" t="str">
        <x:v>凝心铸魂的认识论基础</x:v>
      </x:c>
      <x:c r="K175" s="25" t="str">
        <x:v>围绕核心关系形成判断</x:v>
      </x:c>
      <x:c r="L175" s="25" t="str">
        <x:v>专题检索/文本分析</x:v>
      </x:c>
      <x:c r="M175" s="25" t="str">
        <x:v>该行是待补全文的检索位，不是已确认题录</x:v>
      </x:c>
      <x:c r="N175" s="25" t="str">
        <x:v>待核候选</x:v>
      </x:c>
      <x:c r="O175" s="26" t="str">
        <x:v>待题录与全文核验</x:v>
      </x:c>
      <x:c r="P175" s="25" t="str"/>
    </x:row>
    <x:row r="176">
      <x:c r="A176" s="21" t="n">
        <x:v>175</x:v>
      </x:c>
      <x:c r="B176" s="25" t="str">
        <x:v>待核</x:v>
      </x:c>
      <x:c r="C176" s="25" t="str">
        <x:v>【检索位】党性修养与主体锻造</x:v>
      </x:c>
      <x:c r="D176" s="25" t="str">
        <x:v>理论导刊</x:v>
      </x:c>
      <x:c r="E176" s="26" t="n">
        <x:v>2025</x:v>
      </x:c>
      <x:c r="F176" s="26" t="str">
        <x:v>待核</x:v>
      </x:c>
      <x:c r="G176" s="26" t="str">
        <x:v>待核</x:v>
      </x:c>
      <x:c r="H176" s="26" t="str">
        <x:v>待核：不得计入C刊统计</x:v>
      </x:c>
      <x:c r="I176" s="25" t="str">
        <x:v>党性教育</x:v>
      </x:c>
      <x:c r="J176" s="25" t="str">
        <x:v>党性修养与主体锻造</x:v>
      </x:c>
      <x:c r="K176" s="25" t="str">
        <x:v>围绕核心关系形成判断</x:v>
      </x:c>
      <x:c r="L176" s="25" t="str">
        <x:v>专题检索/文本分析</x:v>
      </x:c>
      <x:c r="M176" s="25" t="str">
        <x:v>该行是待补全文的检索位，不是已确认题录</x:v>
      </x:c>
      <x:c r="N176" s="25" t="str">
        <x:v>待核候选</x:v>
      </x:c>
      <x:c r="O176" s="26" t="str">
        <x:v>待题录与全文核验</x:v>
      </x:c>
      <x:c r="P176" s="25" t="str"/>
    </x:row>
    <x:row r="177">
      <x:c r="A177" s="21" t="n">
        <x:v>176</x:v>
      </x:c>
      <x:c r="B177" s="25" t="str">
        <x:v>待核</x:v>
      </x:c>
      <x:c r="C177" s="25" t="str">
        <x:v>【检索位】上下贯通、执行有力</x:v>
      </x:c>
      <x:c r="D177" s="25" t="str">
        <x:v>学习与实践</x:v>
      </x:c>
      <x:c r="E177" s="26" t="n">
        <x:v>2026</x:v>
      </x:c>
      <x:c r="F177" s="26" t="str">
        <x:v>待核</x:v>
      </x:c>
      <x:c r="G177" s="26" t="str">
        <x:v>待核</x:v>
      </x:c>
      <x:c r="H177" s="26" t="str">
        <x:v>待核：不得计入C刊统计</x:v>
      </x:c>
      <x:c r="I177" s="25" t="str">
        <x:v>组织体系</x:v>
      </x:c>
      <x:c r="J177" s="25" t="str">
        <x:v>上下贯通、执行有力</x:v>
      </x:c>
      <x:c r="K177" s="25" t="str">
        <x:v>围绕核心关系形成判断</x:v>
      </x:c>
      <x:c r="L177" s="25" t="str">
        <x:v>专题检索/文本分析</x:v>
      </x:c>
      <x:c r="M177" s="25" t="str">
        <x:v>该行是待补全文的检索位，不是已确认题录</x:v>
      </x:c>
      <x:c r="N177" s="25" t="str">
        <x:v>待核候选</x:v>
      </x:c>
      <x:c r="O177" s="26" t="str">
        <x:v>待题录与全文核验</x:v>
      </x:c>
      <x:c r="P177" s="25" t="str"/>
    </x:row>
    <x:row r="178">
      <x:c r="A178" s="21" t="n">
        <x:v>177</x:v>
      </x:c>
      <x:c r="B178" s="25" t="str">
        <x:v>待核</x:v>
      </x:c>
      <x:c r="C178" s="25" t="str">
        <x:v>【检索位】选贤任能与政绩观</x:v>
      </x:c>
      <x:c r="D178" s="25" t="str">
        <x:v>探索</x:v>
      </x:c>
      <x:c r="E178" s="26" t="n">
        <x:v>2020</x:v>
      </x:c>
      <x:c r="F178" s="26" t="str">
        <x:v>待核</x:v>
      </x:c>
      <x:c r="G178" s="26" t="str">
        <x:v>待核</x:v>
      </x:c>
      <x:c r="H178" s="26" t="str">
        <x:v>待核：不得计入C刊统计</x:v>
      </x:c>
      <x:c r="I178" s="25" t="str">
        <x:v>干部队伍</x:v>
      </x:c>
      <x:c r="J178" s="25" t="str">
        <x:v>选贤任能与政绩观</x:v>
      </x:c>
      <x:c r="K178" s="25" t="str">
        <x:v>围绕核心关系形成判断</x:v>
      </x:c>
      <x:c r="L178" s="25" t="str">
        <x:v>专题检索/文本分析</x:v>
      </x:c>
      <x:c r="M178" s="25" t="str">
        <x:v>该行是待补全文的检索位，不是已确认题录</x:v>
      </x:c>
      <x:c r="N178" s="25" t="str">
        <x:v>待核候选</x:v>
      </x:c>
      <x:c r="O178" s="26" t="str">
        <x:v>待题录与全文核验</x:v>
      </x:c>
      <x:c r="P178" s="25" t="str"/>
    </x:row>
    <x:row r="179">
      <x:c r="A179" s="21" t="n">
        <x:v>178</x:v>
      </x:c>
      <x:c r="B179" s="25" t="str">
        <x:v>待核</x:v>
      </x:c>
      <x:c r="C179" s="25" t="str">
        <x:v>【检索位】常态化长效化</x:v>
      </x:c>
      <x:c r="D179" s="25" t="str">
        <x:v>求实</x:v>
      </x:c>
      <x:c r="E179" s="26" t="n">
        <x:v>2021</x:v>
      </x:c>
      <x:c r="F179" s="26" t="str">
        <x:v>待核</x:v>
      </x:c>
      <x:c r="G179" s="26" t="str">
        <x:v>待核</x:v>
      </x:c>
      <x:c r="H179" s="26" t="str">
        <x:v>待核：不得计入C刊统计</x:v>
      </x:c>
      <x:c r="I179" s="25" t="str">
        <x:v>作风建设</x:v>
      </x:c>
      <x:c r="J179" s="25" t="str">
        <x:v>常态化长效化</x:v>
      </x:c>
      <x:c r="K179" s="25" t="str">
        <x:v>围绕核心关系形成判断</x:v>
      </x:c>
      <x:c r="L179" s="25" t="str">
        <x:v>专题检索/文本分析</x:v>
      </x:c>
      <x:c r="M179" s="25" t="str">
        <x:v>该行是待补全文的检索位，不是已确认题录</x:v>
      </x:c>
      <x:c r="N179" s="25" t="str">
        <x:v>待核候选</x:v>
      </x:c>
      <x:c r="O179" s="26" t="str">
        <x:v>待题录与全文核验</x:v>
      </x:c>
      <x:c r="P179" s="25" t="str"/>
    </x:row>
    <x:row r="180">
      <x:c r="A180" s="21" t="n">
        <x:v>179</x:v>
      </x:c>
      <x:c r="B180" s="25" t="str">
        <x:v>待核</x:v>
      </x:c>
      <x:c r="C180" s="25" t="str">
        <x:v>【检索位】严明纪律与行为边界</x:v>
      </x:c>
      <x:c r="D180" s="25" t="str">
        <x:v>湖湘论坛</x:v>
      </x:c>
      <x:c r="E180" s="26" t="n">
        <x:v>2022</x:v>
      </x:c>
      <x:c r="F180" s="26" t="str">
        <x:v>待核</x:v>
      </x:c>
      <x:c r="G180" s="26" t="str">
        <x:v>待核</x:v>
      </x:c>
      <x:c r="H180" s="26" t="str">
        <x:v>待核：不得计入C刊统计</x:v>
      </x:c>
      <x:c r="I180" s="25" t="str">
        <x:v>纪律建设</x:v>
      </x:c>
      <x:c r="J180" s="25" t="str">
        <x:v>严明纪律与行为边界</x:v>
      </x:c>
      <x:c r="K180" s="25" t="str">
        <x:v>围绕核心关系形成判断</x:v>
      </x:c>
      <x:c r="L180" s="25" t="str">
        <x:v>专题检索/文本分析</x:v>
      </x:c>
      <x:c r="M180" s="25" t="str">
        <x:v>该行是待补全文的检索位，不是已确认题录</x:v>
      </x:c>
      <x:c r="N180" s="25" t="str">
        <x:v>待核候选</x:v>
      </x:c>
      <x:c r="O180" s="26" t="str">
        <x:v>待题录与全文核验</x:v>
      </x:c>
      <x:c r="P180" s="25" t="str"/>
    </x:row>
    <x:row r="181">
      <x:c r="A181" s="21" t="n">
        <x:v>180</x:v>
      </x:c>
      <x:c r="B181" s="25" t="str">
        <x:v>待核</x:v>
      </x:c>
      <x:c r="C181" s="25" t="str">
        <x:v>【检索位】三不腐一体推进</x:v>
      </x:c>
      <x:c r="D181" s="25" t="str">
        <x:v>山东社会科学</x:v>
      </x:c>
      <x:c r="E181" s="26" t="n">
        <x:v>2023</x:v>
      </x:c>
      <x:c r="F181" s="26" t="str">
        <x:v>待核</x:v>
      </x:c>
      <x:c r="G181" s="26" t="str">
        <x:v>待核</x:v>
      </x:c>
      <x:c r="H181" s="26" t="str">
        <x:v>待核：不得计入C刊统计</x:v>
      </x:c>
      <x:c r="I181" s="25" t="str">
        <x:v>反腐败</x:v>
      </x:c>
      <x:c r="J181" s="25" t="str">
        <x:v>三不腐一体推进</x:v>
      </x:c>
      <x:c r="K181" s="25" t="str">
        <x:v>围绕核心关系形成判断</x:v>
      </x:c>
      <x:c r="L181" s="25" t="str">
        <x:v>专题检索/文本分析</x:v>
      </x:c>
      <x:c r="M181" s="25" t="str">
        <x:v>该行是待补全文的检索位，不是已确认题录</x:v>
      </x:c>
      <x:c r="N181" s="25" t="str">
        <x:v>待核候选</x:v>
      </x:c>
      <x:c r="O181" s="26" t="str">
        <x:v>待题录与全文核验</x:v>
      </x:c>
      <x:c r="P181" s="25" t="str"/>
    </x:row>
    <x:row r="182">
      <x:c r="A182" s="21" t="n">
        <x:v>181</x:v>
      </x:c>
      <x:c r="B182" s="25" t="str">
        <x:v>待核</x:v>
      </x:c>
      <x:c r="C182" s="25" t="str">
        <x:v>【检索位】依规治党及制度执行</x:v>
      </x:c>
      <x:c r="D182" s="25" t="str">
        <x:v>社会科学战线</x:v>
      </x:c>
      <x:c r="E182" s="26" t="n">
        <x:v>2024</x:v>
      </x:c>
      <x:c r="F182" s="26" t="str">
        <x:v>待核</x:v>
      </x:c>
      <x:c r="G182" s="26" t="str">
        <x:v>待核</x:v>
      </x:c>
      <x:c r="H182" s="26" t="str">
        <x:v>待核：不得计入C刊统计</x:v>
      </x:c>
      <x:c r="I182" s="25" t="str">
        <x:v>制度治党</x:v>
      </x:c>
      <x:c r="J182" s="25" t="str">
        <x:v>依规治党及制度执行</x:v>
      </x:c>
      <x:c r="K182" s="25" t="str">
        <x:v>围绕核心关系形成判断</x:v>
      </x:c>
      <x:c r="L182" s="25" t="str">
        <x:v>专题检索/文本分析</x:v>
      </x:c>
      <x:c r="M182" s="25" t="str">
        <x:v>该行是待补全文的检索位，不是已确认题录</x:v>
      </x:c>
      <x:c r="N182" s="25" t="str">
        <x:v>待核候选</x:v>
      </x:c>
      <x:c r="O182" s="26" t="str">
        <x:v>待题录与全文核验</x:v>
      </x:c>
      <x:c r="P182" s="25" t="str"/>
    </x:row>
    <x:row r="183">
      <x:c r="A183" s="21" t="n">
        <x:v>182</x:v>
      </x:c>
      <x:c r="B183" s="25" t="str">
        <x:v>待核</x:v>
      </x:c>
      <x:c r="C183" s="25" t="str">
        <x:v>【检索位】责任链条与问责机制</x:v>
      </x:c>
      <x:c r="D183" s="25" t="str">
        <x:v>浙江社会科学</x:v>
      </x:c>
      <x:c r="E183" s="26" t="n">
        <x:v>2025</x:v>
      </x:c>
      <x:c r="F183" s="26" t="str">
        <x:v>待核</x:v>
      </x:c>
      <x:c r="G183" s="26" t="str">
        <x:v>待核</x:v>
      </x:c>
      <x:c r="H183" s="26" t="str">
        <x:v>待核：不得计入C刊统计</x:v>
      </x:c>
      <x:c r="I183" s="25" t="str">
        <x:v>政治责任</x:v>
      </x:c>
      <x:c r="J183" s="25" t="str">
        <x:v>责任链条与问责机制</x:v>
      </x:c>
      <x:c r="K183" s="25" t="str">
        <x:v>围绕核心关系形成判断</x:v>
      </x:c>
      <x:c r="L183" s="25" t="str">
        <x:v>专题检索/文本分析</x:v>
      </x:c>
      <x:c r="M183" s="25" t="str">
        <x:v>该行是待补全文的检索位，不是已确认题录</x:v>
      </x:c>
      <x:c r="N183" s="25" t="str">
        <x:v>待核候选</x:v>
      </x:c>
      <x:c r="O183" s="26" t="str">
        <x:v>待题录与全文核验</x:v>
      </x:c>
      <x:c r="P183" s="25" t="str"/>
    </x:row>
    <x:row r="184">
      <x:c r="A184" s="21" t="n">
        <x:v>183</x:v>
      </x:c>
      <x:c r="B184" s="25" t="str">
        <x:v>待核</x:v>
      </x:c>
      <x:c r="C184" s="25" t="str">
        <x:v>【检索位】跳出历史周期率第二个答案</x:v>
      </x:c>
      <x:c r="D184" s="25" t="str">
        <x:v>江汉论坛</x:v>
      </x:c>
      <x:c r="E184" s="26" t="n">
        <x:v>2026</x:v>
      </x:c>
      <x:c r="F184" s="26" t="str">
        <x:v>待核</x:v>
      </x:c>
      <x:c r="G184" s="26" t="str">
        <x:v>待核</x:v>
      </x:c>
      <x:c r="H184" s="26" t="str">
        <x:v>待核：不得计入C刊统计</x:v>
      </x:c>
      <x:c r="I184" s="25" t="str">
        <x:v>自我革命</x:v>
      </x:c>
      <x:c r="J184" s="25" t="str">
        <x:v>跳出历史周期率第二个答案</x:v>
      </x:c>
      <x:c r="K184" s="25" t="str">
        <x:v>围绕核心关系形成判断</x:v>
      </x:c>
      <x:c r="L184" s="25" t="str">
        <x:v>专题检索/文本分析</x:v>
      </x:c>
      <x:c r="M184" s="25" t="str">
        <x:v>该行是待补全文的检索位，不是已确认题录</x:v>
      </x:c>
      <x:c r="N184" s="25" t="str">
        <x:v>待核候选</x:v>
      </x:c>
      <x:c r="O184" s="26" t="str">
        <x:v>待题录与全文核验</x:v>
      </x:c>
      <x:c r="P184" s="25" t="str"/>
    </x:row>
    <x:row r="185">
      <x:c r="A185" s="21" t="n">
        <x:v>184</x:v>
      </x:c>
      <x:c r="B185" s="25" t="str">
        <x:v>待核</x:v>
      </x:c>
      <x:c r="C185" s="25" t="str">
        <x:v>【检索位】六个如何始终的现实回应</x:v>
      </x:c>
      <x:c r="D185" s="25" t="str">
        <x:v>东岳论丛</x:v>
      </x:c>
      <x:c r="E185" s="26" t="n">
        <x:v>2020</x:v>
      </x:c>
      <x:c r="F185" s="26" t="str">
        <x:v>待核</x:v>
      </x:c>
      <x:c r="G185" s="26" t="str">
        <x:v>待核</x:v>
      </x:c>
      <x:c r="H185" s="26" t="str">
        <x:v>待核：不得计入C刊统计</x:v>
      </x:c>
      <x:c r="I185" s="25" t="str">
        <x:v>大党难题</x:v>
      </x:c>
      <x:c r="J185" s="25" t="str">
        <x:v>六个如何始终的现实回应</x:v>
      </x:c>
      <x:c r="K185" s="25" t="str">
        <x:v>围绕核心关系形成判断</x:v>
      </x:c>
      <x:c r="L185" s="25" t="str">
        <x:v>专题检索/文本分析</x:v>
      </x:c>
      <x:c r="M185" s="25" t="str">
        <x:v>该行是待补全文的检索位，不是已确认题录</x:v>
      </x:c>
      <x:c r="N185" s="25" t="str">
        <x:v>待核候选</x:v>
      </x:c>
      <x:c r="O185" s="26" t="str">
        <x:v>待题录与全文核验</x:v>
      </x:c>
      <x:c r="P185" s="25" t="str"/>
    </x:row>
    <x:row r="186">
      <x:c r="A186" s="21" t="n">
        <x:v>185</x:v>
      </x:c>
      <x:c r="B186" s="25" t="str">
        <x:v>待核</x:v>
      </x:c>
      <x:c r="C186" s="25" t="str">
        <x:v>【检索位】十四个坚持的总分结构与逻辑主线</x:v>
      </x:c>
      <x:c r="D186" s="25" t="str">
        <x:v>马克思主义研究</x:v>
      </x:c>
      <x:c r="E186" s="26" t="n">
        <x:v>2021</x:v>
      </x:c>
      <x:c r="F186" s="26" t="str">
        <x:v>待核</x:v>
      </x:c>
      <x:c r="G186" s="26" t="str">
        <x:v>待核</x:v>
      </x:c>
      <x:c r="H186" s="26" t="str">
        <x:v>待核：不得计入C刊统计</x:v>
      </x:c>
      <x:c r="I186" s="25" t="str">
        <x:v>体系建构</x:v>
      </x:c>
      <x:c r="J186" s="25" t="str">
        <x:v>十四个坚持的总分结构与逻辑主线</x:v>
      </x:c>
      <x:c r="K186" s="25" t="str">
        <x:v>围绕核心关系形成判断</x:v>
      </x:c>
      <x:c r="L186" s="25" t="str">
        <x:v>专题检索/文本分析</x:v>
      </x:c>
      <x:c r="M186" s="25" t="str">
        <x:v>该行是待补全文的检索位，不是已确认题录</x:v>
      </x:c>
      <x:c r="N186" s="25" t="str">
        <x:v>待核候选</x:v>
      </x:c>
      <x:c r="O186" s="26" t="str">
        <x:v>待题录与全文核验</x:v>
      </x:c>
      <x:c r="P186" s="25" t="str"/>
    </x:row>
    <x:row r="187">
      <x:c r="A187" s="21" t="n">
        <x:v>186</x:v>
      </x:c>
      <x:c r="B187" s="25" t="str">
        <x:v>待核</x:v>
      </x:c>
      <x:c r="C187" s="25" t="str">
        <x:v>【检索位】马克思主义建党学说的继承发展</x:v>
      </x:c>
      <x:c r="D187" s="25" t="str">
        <x:v>教学与研究</x:v>
      </x:c>
      <x:c r="E187" s="26" t="n">
        <x:v>2022</x:v>
      </x:c>
      <x:c r="F187" s="26" t="str">
        <x:v>待核</x:v>
      </x:c>
      <x:c r="G187" s="26" t="str">
        <x:v>待核</x:v>
      </x:c>
      <x:c r="H187" s="26" t="str">
        <x:v>待核：不得计入C刊统计</x:v>
      </x:c>
      <x:c r="I187" s="25" t="str">
        <x:v>理论基础</x:v>
      </x:c>
      <x:c r="J187" s="25" t="str">
        <x:v>马克思主义建党学说的继承发展</x:v>
      </x:c>
      <x:c r="K187" s="25" t="str">
        <x:v>围绕核心关系形成判断</x:v>
      </x:c>
      <x:c r="L187" s="25" t="str">
        <x:v>专题检索/文本分析</x:v>
      </x:c>
      <x:c r="M187" s="25" t="str">
        <x:v>该行是待补全文的检索位，不是已确认题录</x:v>
      </x:c>
      <x:c r="N187" s="25" t="str">
        <x:v>待核候选</x:v>
      </x:c>
      <x:c r="O187" s="26" t="str">
        <x:v>待题录与全文核验</x:v>
      </x:c>
      <x:c r="P187" s="25" t="str"/>
    </x:row>
    <x:row r="188">
      <x:c r="A188" s="21" t="n">
        <x:v>187</x:v>
      </x:c>
      <x:c r="B188" s="25" t="str">
        <x:v>待核</x:v>
      </x:c>
      <x:c r="C188" s="25" t="str">
        <x:v>【检索位】中华优秀传统文化的创造性转化</x:v>
      </x:c>
      <x:c r="D188" s="25" t="str">
        <x:v>思想理论教育导刊</x:v>
      </x:c>
      <x:c r="E188" s="26" t="n">
        <x:v>2023</x:v>
      </x:c>
      <x:c r="F188" s="26" t="str">
        <x:v>待核</x:v>
      </x:c>
      <x:c r="G188" s="26" t="str">
        <x:v>待核</x:v>
      </x:c>
      <x:c r="H188" s="26" t="str">
        <x:v>待核：不得计入C刊统计</x:v>
      </x:c>
      <x:c r="I188" s="25" t="str">
        <x:v>第二个结合</x:v>
      </x:c>
      <x:c r="J188" s="25" t="str">
        <x:v>中华优秀传统文化的创造性转化</x:v>
      </x:c>
      <x:c r="K188" s="25" t="str">
        <x:v>围绕核心关系形成判断</x:v>
      </x:c>
      <x:c r="L188" s="25" t="str">
        <x:v>专题检索/文本分析</x:v>
      </x:c>
      <x:c r="M188" s="25" t="str">
        <x:v>该行是待补全文的检索位，不是已确认题录</x:v>
      </x:c>
      <x:c r="N188" s="25" t="str">
        <x:v>待核候选</x:v>
      </x:c>
      <x:c r="O188" s="26" t="str">
        <x:v>待题录与全文核验</x:v>
      </x:c>
      <x:c r="P188" s="25" t="str"/>
    </x:row>
    <x:row r="189">
      <x:c r="A189" s="21" t="n">
        <x:v>188</x:v>
      </x:c>
      <x:c r="B189" s="25" t="str">
        <x:v>待核</x:v>
      </x:c>
      <x:c r="C189" s="25" t="str">
        <x:v>【检索位】明体达用、体用贯通的哲学表达</x:v>
      </x:c>
      <x:c r="D189" s="25" t="str">
        <x:v>马克思主义理论学科研究</x:v>
      </x:c>
      <x:c r="E189" s="26" t="n">
        <x:v>2024</x:v>
      </x:c>
      <x:c r="F189" s="26" t="str">
        <x:v>待核</x:v>
      </x:c>
      <x:c r="G189" s="26" t="str">
        <x:v>待核</x:v>
      </x:c>
      <x:c r="H189" s="26" t="str">
        <x:v>待核：不得计入C刊统计</x:v>
      </x:c>
      <x:c r="I189" s="25" t="str">
        <x:v>体用关系</x:v>
      </x:c>
      <x:c r="J189" s="25" t="str">
        <x:v>明体达用、体用贯通的哲学表达</x:v>
      </x:c>
      <x:c r="K189" s="25" t="str">
        <x:v>围绕核心关系形成判断</x:v>
      </x:c>
      <x:c r="L189" s="25" t="str">
        <x:v>专题检索/文本分析</x:v>
      </x:c>
      <x:c r="M189" s="25" t="str">
        <x:v>该行是待补全文的检索位，不是已确认题录</x:v>
      </x:c>
      <x:c r="N189" s="25" t="str">
        <x:v>待核候选</x:v>
      </x:c>
      <x:c r="O189" s="26" t="str">
        <x:v>待题录与全文核验</x:v>
      </x:c>
      <x:c r="P189" s="25" t="str"/>
    </x:row>
    <x:row r="190">
      <x:c r="A190" s="21" t="n">
        <x:v>189</x:v>
      </x:c>
      <x:c r="B190" s="25" t="str">
        <x:v>待核</x:v>
      </x:c>
      <x:c r="C190" s="25" t="str">
        <x:v>【检索位】中国特色社会主义最本质特征</x:v>
      </x:c>
      <x:c r="D190" s="25" t="str">
        <x:v>中国特色社会主义研究</x:v>
      </x:c>
      <x:c r="E190" s="26" t="n">
        <x:v>2025</x:v>
      </x:c>
      <x:c r="F190" s="26" t="str">
        <x:v>待核</x:v>
      </x:c>
      <x:c r="G190" s="26" t="str">
        <x:v>待核</x:v>
      </x:c>
      <x:c r="H190" s="26" t="str">
        <x:v>待核：不得计入C刊统计</x:v>
      </x:c>
      <x:c r="I190" s="25" t="str">
        <x:v>党的领导</x:v>
      </x:c>
      <x:c r="J190" s="25" t="str">
        <x:v>中国特色社会主义最本质特征</x:v>
      </x:c>
      <x:c r="K190" s="25" t="str">
        <x:v>围绕核心关系形成判断</x:v>
      </x:c>
      <x:c r="L190" s="25" t="str">
        <x:v>专题检索/文本分析</x:v>
      </x:c>
      <x:c r="M190" s="25" t="str">
        <x:v>该行是待补全文的检索位，不是已确认题录</x:v>
      </x:c>
      <x:c r="N190" s="25" t="str">
        <x:v>待核候选</x:v>
      </x:c>
      <x:c r="O190" s="26" t="str">
        <x:v>待题录与全文核验</x:v>
      </x:c>
      <x:c r="P190" s="25" t="str"/>
    </x:row>
    <x:row r="191">
      <x:c r="A191" s="21" t="n">
        <x:v>190</x:v>
      </x:c>
      <x:c r="B191" s="25" t="str">
        <x:v>待核</x:v>
      </x:c>
      <x:c r="C191" s="25" t="str">
        <x:v>【检索位】最高政治原则的制度展开</x:v>
      </x:c>
      <x:c r="D191" s="25" t="str">
        <x:v>中共党史研究</x:v>
      </x:c>
      <x:c r="E191" s="26" t="n">
        <x:v>2026</x:v>
      </x:c>
      <x:c r="F191" s="26" t="str">
        <x:v>待核</x:v>
      </x:c>
      <x:c r="G191" s="26" t="str">
        <x:v>待核</x:v>
      </x:c>
      <x:c r="H191" s="26" t="str">
        <x:v>待核：不得计入C刊统计</x:v>
      </x:c>
      <x:c r="I191" s="25" t="str">
        <x:v>集中统一领导</x:v>
      </x:c>
      <x:c r="J191" s="25" t="str">
        <x:v>最高政治原则的制度展开</x:v>
      </x:c>
      <x:c r="K191" s="25" t="str">
        <x:v>围绕核心关系形成判断</x:v>
      </x:c>
      <x:c r="L191" s="25" t="str">
        <x:v>专题检索/文本分析</x:v>
      </x:c>
      <x:c r="M191" s="25" t="str">
        <x:v>该行是待补全文的检索位，不是已确认题录</x:v>
      </x:c>
      <x:c r="N191" s="25" t="str">
        <x:v>待核候选</x:v>
      </x:c>
      <x:c r="O191" s="26" t="str">
        <x:v>待题录与全文核验</x:v>
      </x:c>
      <x:c r="P191" s="25" t="str"/>
    </x:row>
    <x:row r="192">
      <x:c r="A192" s="21" t="n">
        <x:v>191</x:v>
      </x:c>
      <x:c r="B192" s="25" t="str">
        <x:v>待核</x:v>
      </x:c>
      <x:c r="C192" s="25" t="str">
        <x:v>【检索位】战略方针与体系化治理</x:v>
      </x:c>
      <x:c r="D192" s="25" t="str">
        <x:v>党的文献</x:v>
      </x:c>
      <x:c r="E192" s="26" t="n">
        <x:v>2020</x:v>
      </x:c>
      <x:c r="F192" s="26" t="str">
        <x:v>待核</x:v>
      </x:c>
      <x:c r="G192" s="26" t="str">
        <x:v>待核</x:v>
      </x:c>
      <x:c r="H192" s="26" t="str">
        <x:v>待核：不得计入C刊统计</x:v>
      </x:c>
      <x:c r="I192" s="25" t="str">
        <x:v>全面从严治党</x:v>
      </x:c>
      <x:c r="J192" s="25" t="str">
        <x:v>战略方针与体系化治理</x:v>
      </x:c>
      <x:c r="K192" s="25" t="str">
        <x:v>围绕核心关系形成判断</x:v>
      </x:c>
      <x:c r="L192" s="25" t="str">
        <x:v>专题检索/文本分析</x:v>
      </x:c>
      <x:c r="M192" s="25" t="str">
        <x:v>该行是待补全文的检索位，不是已确认题录</x:v>
      </x:c>
      <x:c r="N192" s="25" t="str">
        <x:v>待核候选</x:v>
      </x:c>
      <x:c r="O192" s="26" t="str">
        <x:v>待题录与全文核验</x:v>
      </x:c>
      <x:c r="P192" s="25" t="str"/>
    </x:row>
    <x:row r="193">
      <x:c r="A193" s="21" t="n">
        <x:v>192</x:v>
      </x:c>
      <x:c r="B193" s="25" t="str">
        <x:v>待核</x:v>
      </x:c>
      <x:c r="C193" s="25" t="str">
        <x:v>【检索位】价值立场与长期执政</x:v>
      </x:c>
      <x:c r="D193" s="25" t="str">
        <x:v>理论视野</x:v>
      </x:c>
      <x:c r="E193" s="26" t="n">
        <x:v>2021</x:v>
      </x:c>
      <x:c r="F193" s="26" t="str">
        <x:v>待核</x:v>
      </x:c>
      <x:c r="G193" s="26" t="str">
        <x:v>待核</x:v>
      </x:c>
      <x:c r="H193" s="26" t="str">
        <x:v>待核：不得计入C刊统计</x:v>
      </x:c>
      <x:c r="I193" s="25" t="str">
        <x:v>初心使命</x:v>
      </x:c>
      <x:c r="J193" s="25" t="str">
        <x:v>价值立场与长期执政</x:v>
      </x:c>
      <x:c r="K193" s="25" t="str">
        <x:v>围绕核心关系形成判断</x:v>
      </x:c>
      <x:c r="L193" s="25" t="str">
        <x:v>专题检索/文本分析</x:v>
      </x:c>
      <x:c r="M193" s="25" t="str">
        <x:v>该行是待补全文的检索位，不是已确认题录</x:v>
      </x:c>
      <x:c r="N193" s="25" t="str">
        <x:v>待核候选</x:v>
      </x:c>
      <x:c r="O193" s="26" t="str">
        <x:v>待题录与全文核验</x:v>
      </x:c>
      <x:c r="P193" s="25" t="str"/>
    </x:row>
    <x:row r="194">
      <x:c r="A194" s="21" t="n">
        <x:v>193</x:v>
      </x:c>
      <x:c r="B194" s="25" t="str">
        <x:v>待核</x:v>
      </x:c>
      <x:c r="C194" s="25" t="str">
        <x:v>【检索位】统领地位及其关系结构</x:v>
      </x:c>
      <x:c r="D194" s="25" t="str">
        <x:v>党政研究</x:v>
      </x:c>
      <x:c r="E194" s="26" t="n">
        <x:v>2022</x:v>
      </x:c>
      <x:c r="F194" s="26" t="str">
        <x:v>待核</x:v>
      </x:c>
      <x:c r="G194" s="26" t="str">
        <x:v>待核</x:v>
      </x:c>
      <x:c r="H194" s="26" t="str">
        <x:v>待核：不得计入C刊统计</x:v>
      </x:c>
      <x:c r="I194" s="25" t="str">
        <x:v>政治建设</x:v>
      </x:c>
      <x:c r="J194" s="25" t="str">
        <x:v>统领地位及其关系结构</x:v>
      </x:c>
      <x:c r="K194" s="25" t="str">
        <x:v>围绕核心关系形成判断</x:v>
      </x:c>
      <x:c r="L194" s="25" t="str">
        <x:v>专题检索/文本分析</x:v>
      </x:c>
      <x:c r="M194" s="25" t="str">
        <x:v>该行是待补全文的检索位，不是已确认题录</x:v>
      </x:c>
      <x:c r="N194" s="25" t="str">
        <x:v>待核候选</x:v>
      </x:c>
      <x:c r="O194" s="26" t="str">
        <x:v>待题录与全文核验</x:v>
      </x:c>
      <x:c r="P194" s="25" t="str"/>
    </x:row>
    <x:row r="195">
      <x:c r="A195" s="21" t="n">
        <x:v>194</x:v>
      </x:c>
      <x:c r="B195" s="25" t="str">
        <x:v>待核</x:v>
      </x:c>
      <x:c r="C195" s="25" t="str">
        <x:v>【检索位】凝心铸魂的认识论基础</x:v>
      </x:c>
      <x:c r="D195" s="25" t="str">
        <x:v>理论探讨</x:v>
      </x:c>
      <x:c r="E195" s="26" t="n">
        <x:v>2023</x:v>
      </x:c>
      <x:c r="F195" s="26" t="str">
        <x:v>待核</x:v>
      </x:c>
      <x:c r="G195" s="26" t="str">
        <x:v>待核</x:v>
      </x:c>
      <x:c r="H195" s="26" t="str">
        <x:v>待核：不得计入C刊统计</x:v>
      </x:c>
      <x:c r="I195" s="25" t="str">
        <x:v>理论武装</x:v>
      </x:c>
      <x:c r="J195" s="25" t="str">
        <x:v>凝心铸魂的认识论基础</x:v>
      </x:c>
      <x:c r="K195" s="25" t="str">
        <x:v>围绕核心关系形成判断</x:v>
      </x:c>
      <x:c r="L195" s="25" t="str">
        <x:v>专题检索/文本分析</x:v>
      </x:c>
      <x:c r="M195" s="25" t="str">
        <x:v>该行是待补全文的检索位，不是已确认题录</x:v>
      </x:c>
      <x:c r="N195" s="25" t="str">
        <x:v>待核候选</x:v>
      </x:c>
      <x:c r="O195" s="26" t="str">
        <x:v>待题录与全文核验</x:v>
      </x:c>
      <x:c r="P195" s="25" t="str"/>
    </x:row>
    <x:row r="196">
      <x:c r="A196" s="21" t="n">
        <x:v>195</x:v>
      </x:c>
      <x:c r="B196" s="25" t="str">
        <x:v>待核</x:v>
      </x:c>
      <x:c r="C196" s="25" t="str">
        <x:v>【检索位】党性修养与主体锻造</x:v>
      </x:c>
      <x:c r="D196" s="25" t="str">
        <x:v>理论导刊</x:v>
      </x:c>
      <x:c r="E196" s="26" t="n">
        <x:v>2024</x:v>
      </x:c>
      <x:c r="F196" s="26" t="str">
        <x:v>待核</x:v>
      </x:c>
      <x:c r="G196" s="26" t="str">
        <x:v>待核</x:v>
      </x:c>
      <x:c r="H196" s="26" t="str">
        <x:v>待核：不得计入C刊统计</x:v>
      </x:c>
      <x:c r="I196" s="25" t="str">
        <x:v>党性教育</x:v>
      </x:c>
      <x:c r="J196" s="25" t="str">
        <x:v>党性修养与主体锻造</x:v>
      </x:c>
      <x:c r="K196" s="25" t="str">
        <x:v>围绕核心关系形成判断</x:v>
      </x:c>
      <x:c r="L196" s="25" t="str">
        <x:v>专题检索/文本分析</x:v>
      </x:c>
      <x:c r="M196" s="25" t="str">
        <x:v>该行是待补全文的检索位，不是已确认题录</x:v>
      </x:c>
      <x:c r="N196" s="25" t="str">
        <x:v>待核候选</x:v>
      </x:c>
      <x:c r="O196" s="26" t="str">
        <x:v>待题录与全文核验</x:v>
      </x:c>
      <x:c r="P196" s="25" t="str"/>
    </x:row>
    <x:row r="197">
      <x:c r="A197" s="21" t="n">
        <x:v>196</x:v>
      </x:c>
      <x:c r="B197" s="25" t="str">
        <x:v>待核</x:v>
      </x:c>
      <x:c r="C197" s="25" t="str">
        <x:v>【检索位】上下贯通、执行有力</x:v>
      </x:c>
      <x:c r="D197" s="25" t="str">
        <x:v>学习与实践</x:v>
      </x:c>
      <x:c r="E197" s="26" t="n">
        <x:v>2025</x:v>
      </x:c>
      <x:c r="F197" s="26" t="str">
        <x:v>待核</x:v>
      </x:c>
      <x:c r="G197" s="26" t="str">
        <x:v>待核</x:v>
      </x:c>
      <x:c r="H197" s="26" t="str">
        <x:v>待核：不得计入C刊统计</x:v>
      </x:c>
      <x:c r="I197" s="25" t="str">
        <x:v>组织体系</x:v>
      </x:c>
      <x:c r="J197" s="25" t="str">
        <x:v>上下贯通、执行有力</x:v>
      </x:c>
      <x:c r="K197" s="25" t="str">
        <x:v>围绕核心关系形成判断</x:v>
      </x:c>
      <x:c r="L197" s="25" t="str">
        <x:v>专题检索/文本分析</x:v>
      </x:c>
      <x:c r="M197" s="25" t="str">
        <x:v>该行是待补全文的检索位，不是已确认题录</x:v>
      </x:c>
      <x:c r="N197" s="25" t="str">
        <x:v>待核候选</x:v>
      </x:c>
      <x:c r="O197" s="26" t="str">
        <x:v>待题录与全文核验</x:v>
      </x:c>
      <x:c r="P197" s="25" t="str"/>
    </x:row>
    <x:row r="198">
      <x:c r="A198" s="21" t="n">
        <x:v>197</x:v>
      </x:c>
      <x:c r="B198" s="25" t="str">
        <x:v>待核</x:v>
      </x:c>
      <x:c r="C198" s="25" t="str">
        <x:v>【检索位】选贤任能与政绩观</x:v>
      </x:c>
      <x:c r="D198" s="25" t="str">
        <x:v>探索</x:v>
      </x:c>
      <x:c r="E198" s="26" t="n">
        <x:v>2026</x:v>
      </x:c>
      <x:c r="F198" s="26" t="str">
        <x:v>待核</x:v>
      </x:c>
      <x:c r="G198" s="26" t="str">
        <x:v>待核</x:v>
      </x:c>
      <x:c r="H198" s="26" t="str">
        <x:v>待核：不得计入C刊统计</x:v>
      </x:c>
      <x:c r="I198" s="25" t="str">
        <x:v>干部队伍</x:v>
      </x:c>
      <x:c r="J198" s="25" t="str">
        <x:v>选贤任能与政绩观</x:v>
      </x:c>
      <x:c r="K198" s="25" t="str">
        <x:v>围绕核心关系形成判断</x:v>
      </x:c>
      <x:c r="L198" s="25" t="str">
        <x:v>专题检索/文本分析</x:v>
      </x:c>
      <x:c r="M198" s="25" t="str">
        <x:v>该行是待补全文的检索位，不是已确认题录</x:v>
      </x:c>
      <x:c r="N198" s="25" t="str">
        <x:v>待核候选</x:v>
      </x:c>
      <x:c r="O198" s="26" t="str">
        <x:v>待题录与全文核验</x:v>
      </x:c>
      <x:c r="P198" s="25" t="str"/>
    </x:row>
    <x:row r="199">
      <x:c r="A199" s="21" t="n">
        <x:v>198</x:v>
      </x:c>
      <x:c r="B199" s="25" t="str">
        <x:v>待核</x:v>
      </x:c>
      <x:c r="C199" s="25" t="str">
        <x:v>【检索位】常态化长效化</x:v>
      </x:c>
      <x:c r="D199" s="25" t="str">
        <x:v>求实</x:v>
      </x:c>
      <x:c r="E199" s="26" t="n">
        <x:v>2020</x:v>
      </x:c>
      <x:c r="F199" s="26" t="str">
        <x:v>待核</x:v>
      </x:c>
      <x:c r="G199" s="26" t="str">
        <x:v>待核</x:v>
      </x:c>
      <x:c r="H199" s="26" t="str">
        <x:v>待核：不得计入C刊统计</x:v>
      </x:c>
      <x:c r="I199" s="25" t="str">
        <x:v>作风建设</x:v>
      </x:c>
      <x:c r="J199" s="25" t="str">
        <x:v>常态化长效化</x:v>
      </x:c>
      <x:c r="K199" s="25" t="str">
        <x:v>围绕核心关系形成判断</x:v>
      </x:c>
      <x:c r="L199" s="25" t="str">
        <x:v>专题检索/文本分析</x:v>
      </x:c>
      <x:c r="M199" s="25" t="str">
        <x:v>该行是待补全文的检索位，不是已确认题录</x:v>
      </x:c>
      <x:c r="N199" s="25" t="str">
        <x:v>待核候选</x:v>
      </x:c>
      <x:c r="O199" s="26" t="str">
        <x:v>待题录与全文核验</x:v>
      </x:c>
      <x:c r="P199" s="25" t="str"/>
    </x:row>
    <x:row r="200">
      <x:c r="A200" s="21" t="n">
        <x:v>199</x:v>
      </x:c>
      <x:c r="B200" s="25" t="str">
        <x:v>待核</x:v>
      </x:c>
      <x:c r="C200" s="25" t="str">
        <x:v>【检索位】严明纪律与行为边界</x:v>
      </x:c>
      <x:c r="D200" s="25" t="str">
        <x:v>湖湘论坛</x:v>
      </x:c>
      <x:c r="E200" s="26" t="n">
        <x:v>2021</x:v>
      </x:c>
      <x:c r="F200" s="26" t="str">
        <x:v>待核</x:v>
      </x:c>
      <x:c r="G200" s="26" t="str">
        <x:v>待核</x:v>
      </x:c>
      <x:c r="H200" s="26" t="str">
        <x:v>待核：不得计入C刊统计</x:v>
      </x:c>
      <x:c r="I200" s="25" t="str">
        <x:v>纪律建设</x:v>
      </x:c>
      <x:c r="J200" s="25" t="str">
        <x:v>严明纪律与行为边界</x:v>
      </x:c>
      <x:c r="K200" s="25" t="str">
        <x:v>围绕核心关系形成判断</x:v>
      </x:c>
      <x:c r="L200" s="25" t="str">
        <x:v>专题检索/文本分析</x:v>
      </x:c>
      <x:c r="M200" s="25" t="str">
        <x:v>该行是待补全文的检索位，不是已确认题录</x:v>
      </x:c>
      <x:c r="N200" s="25" t="str">
        <x:v>待核候选</x:v>
      </x:c>
      <x:c r="O200" s="26" t="str">
        <x:v>待题录与全文核验</x:v>
      </x:c>
      <x:c r="P200" s="25" t="str"/>
    </x:row>
    <x:row r="201">
      <x:c r="A201" s="22" t="n">
        <x:v>200</x:v>
      </x:c>
      <x:c r="B201" s="27" t="str">
        <x:v>待核</x:v>
      </x:c>
      <x:c r="C201" s="27" t="str">
        <x:v>【检索位】三不腐一体推进</x:v>
      </x:c>
      <x:c r="D201" s="27" t="str">
        <x:v>山东社会科学</x:v>
      </x:c>
      <x:c r="E201" s="28" t="n">
        <x:v>2022</x:v>
      </x:c>
      <x:c r="F201" s="28" t="str">
        <x:v>待核</x:v>
      </x:c>
      <x:c r="G201" s="28" t="str">
        <x:v>待核</x:v>
      </x:c>
      <x:c r="H201" s="28" t="str">
        <x:v>待核：不得计入C刊统计</x:v>
      </x:c>
      <x:c r="I201" s="27" t="str">
        <x:v>反腐败</x:v>
      </x:c>
      <x:c r="J201" s="27" t="str">
        <x:v>三不腐一体推进</x:v>
      </x:c>
      <x:c r="K201" s="27" t="str">
        <x:v>围绕核心关系形成判断</x:v>
      </x:c>
      <x:c r="L201" s="27" t="str">
        <x:v>专题检索/文本分析</x:v>
      </x:c>
      <x:c r="M201" s="27" t="str">
        <x:v>该行是待补全文的检索位，不是已确认题录</x:v>
      </x:c>
      <x:c r="N201" s="27" t="str">
        <x:v>待核候选</x:v>
      </x:c>
      <x:c r="O201" s="28" t="str">
        <x:v>待题录与全文核验</x:v>
      </x:c>
      <x:c r="P201" s="27" t="str"/>
    </x:row>
  </x:sheetData>
  <x:conditionalFormatting sqref="O2:O201">
    <x:cfRule type="containsText" dxfId="0" priority="1" operator="containsText" text="全文"/>
    <x:cfRule type="containsText" dxfId="1" priority="2" operator="containsText" text="摘要"/>
    <x:cfRule type="containsText" dxfId="2" priority="3" operator="containsText" text="待"/>
  </x:conditionalFormatting>
  <x:pageMargins left="0.7" right="0.7" top="0.75" bottom="0.75" header="0.3" footer="0.3"/>
  <x:tableParts count="1">
    <x:tablePart xmlns:r="http://schemas.openxmlformats.org/officeDocument/2006/relationships" r:id="R04846992f4444cd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4" max="4" width="18" hidden="0" customWidth="1"/>
    <x:col min="5" max="5" width="18" hidden="0" customWidth="1"/>
    <x:col min="6" max="6" width="18" hidden="0" customWidth="1"/>
    <x:col min="7" max="7" width="18" hidden="0" customWidth="1"/>
    <x:col min="8" max="8" width="18" hidden="0" customWidth="1"/>
  </x:cols>
  <x:sheetData>
    <x:row r="1" ht="38" customHeight="1">
      <x:c r="A1" s="57" t="str">
        <x:v>习近平党建思想200篇研究样本库</x:v>
      </x:c>
      <x:c r="B1" s="57"/>
      <x:c r="C1" s="57"/>
      <x:c r="D1" s="57"/>
      <x:c r="E1" s="57"/>
      <x:c r="F1" s="57"/>
      <x:c r="G1" s="57"/>
      <x:c r="H1" s="57"/>
    </x:row>
    <x:row r="2">
      <x:c r="A2" s="58"/>
      <x:c r="B2" s="58"/>
      <x:c r="C2" s="58"/>
      <x:c r="D2" s="58"/>
      <x:c r="E2" s="58"/>
      <x:c r="F2" s="58"/>
      <x:c r="G2" s="58"/>
      <x:c r="H2" s="58"/>
    </x:row>
    <x:row r="3">
      <x:c r="A3" s="59" t="str">
        <x:v>指标</x:v>
      </x:c>
      <x:c r="B3" s="59" t="str">
        <x:v>数量</x:v>
      </x:c>
      <x:c r="C3" s="58"/>
      <x:c r="D3" s="60" t="str">
        <x:v>使用说明</x:v>
      </x:c>
      <x:c r="E3" s="60" t="str"/>
      <x:c r="F3" s="60" t="str"/>
      <x:c r="G3" s="60" t="str"/>
      <x:c r="H3" s="60" t="str"/>
    </x:row>
    <x:row r="4">
      <x:c r="A4" s="61" t="str">
        <x:v>总行数</x:v>
      </x:c>
      <x:c r="B4" s="61" t="n">
        <x:f>COUNTA('文献总表'!$A$2:$A$201)</x:f>
        <x:v>200</x:v>
      </x:c>
      <x:c r="C4" s="58"/>
      <x:c r="D4" s="62" t="str">
        <x:v>1</x:v>
      </x:c>
      <x:c r="E4" s="63" t="str">
        <x:v>“已核验题录”表示作者、题名、来源至少在期刊页面或研究述评参考文献中得到确认。</x:v>
      </x:c>
      <x:c r="F4" s="63" t="str"/>
      <x:c r="G4" s="63" t="str"/>
      <x:c r="H4" s="64" t="str"/>
    </x:row>
    <x:row r="5">
      <x:c r="A5" s="61" t="str">
        <x:v>已有明确题录</x:v>
      </x:c>
      <x:c r="B5" s="61" t="n">
        <x:f>COUNTIF('文献总表'!$B$2:$B$201,"&lt;&gt;待核")</x:f>
        <x:v>64</x:v>
      </x:c>
      <x:c r="C5" s="58"/>
      <x:c r="D5" s="65" t="str">
        <x:v>2</x:v>
      </x:c>
      <x:c r="E5" s="66" t="str">
        <x:v>“摘要级学习”只依据公开摘要提炼，不声称读过全文。</x:v>
      </x:c>
      <x:c r="F5" s="66" t="str"/>
      <x:c r="G5" s="66" t="str"/>
      <x:c r="H5" s="67" t="str"/>
    </x:row>
    <x:row r="6">
      <x:c r="A6" s="61" t="str">
        <x:v>权威报纸</x:v>
      </x:c>
      <x:c r="B6" s="61" t="n">
        <x:f>COUNTIF('文献总表'!$H$2:$H$201,"权威报纸")</x:f>
        <x:v>16</x:v>
      </x:c>
      <x:c r="C6" s="58"/>
      <x:c r="D6" s="65" t="str">
        <x:v>3</x:v>
      </x:c>
      <x:c r="E6" s="66" t="str">
        <x:v>“检索位”用于保证200篇扩展方向完整，未核实前不得引用、不得计入C刊数量。</x:v>
      </x:c>
      <x:c r="F6" s="66" t="str"/>
      <x:c r="G6" s="66" t="str"/>
      <x:c r="H6" s="67" t="str"/>
    </x:row>
    <x:row r="7">
      <x:c r="A7" s="61" t="str">
        <x:v>全文页面核验</x:v>
      </x:c>
      <x:c r="B7" s="61" t="n">
        <x:f>COUNTIF('文献总表'!$O$2:$O$201,"全文核验")+COUNTIF('文献总表'!$O$2:$O$201,"全文页面核验")</x:f>
        <x:v>13</x:v>
      </x:c>
      <x:c r="C7" s="58"/>
      <x:c r="D7" s="65" t="str">
        <x:v>4</x:v>
      </x:c>
      <x:c r="E7" s="66" t="str">
        <x:v>权威报纸单列，不与CSSCI来源期刊混算。</x:v>
      </x:c>
      <x:c r="F7" s="66" t="str"/>
      <x:c r="G7" s="66" t="str"/>
      <x:c r="H7" s="67" t="str"/>
    </x:row>
    <x:row r="8">
      <x:c r="A8" s="61" t="str">
        <x:v>摘要级学习</x:v>
      </x:c>
      <x:c r="B8" s="61" t="n">
        <x:f>COUNTIF('文献总表'!$O$2:$O$201,"摘要级学习")</x:f>
        <x:v>33</x:v>
      </x:c>
      <x:c r="C8" s="58"/>
      <x:c r="D8" s="68" t="str">
        <x:v>5</x:v>
      </x:c>
      <x:c r="E8" s="69" t="str">
        <x:v>正式写作前，应从已核验条目中优先选择30—35项承担具体论证功能。</x:v>
      </x:c>
      <x:c r="F8" s="69" t="str"/>
      <x:c r="G8" s="69" t="str"/>
      <x:c r="H8" s="70" t="str"/>
    </x:row>
    <x:row r="9">
      <x:c r="A9" s="61" t="str">
        <x:v>待补全文检索位</x:v>
      </x:c>
      <x:c r="B9" s="61" t="n">
        <x:f>COUNTIF('文献总表'!$B$2:$B$201,"待核")</x:f>
        <x:v>136</x:v>
      </x:c>
      <x:c r="C9" s="58"/>
      <x:c r="D9" s="58"/>
      <x:c r="E9" s="58"/>
      <x:c r="F9" s="58"/>
      <x:c r="G9" s="58"/>
      <x:c r="H9" s="58"/>
    </x:row>
    <x:row r="10">
      <x:c r="A10" s="58"/>
      <x:c r="B10" s="58"/>
      <x:c r="C10" s="58"/>
      <x:c r="D10" s="58"/>
      <x:c r="E10" s="58"/>
      <x:c r="F10" s="58"/>
      <x:c r="G10" s="58"/>
      <x:c r="H10" s="58"/>
    </x:row>
  </x:sheetData>
  <x:mergeCells>
    <x:mergeCell ref="A1:H1"/>
    <x:mergeCell ref="D3:H3"/>
    <x:mergeCell ref="D4:H4"/>
    <x:mergeCell ref="D5:H5"/>
    <x:mergeCell ref="D6:H6"/>
    <x:mergeCell ref="D7:H7"/>
    <x:mergeCell ref="D8:H8"/>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6" hidden="0" customWidth="1"/>
    <x:col min="3" max="3" width="46" hidden="0" customWidth="1"/>
    <x:col min="4" max="4" width="26" hidden="0" customWidth="1"/>
    <x:col min="5" max="5" width="9" hidden="0" customWidth="1"/>
    <x:col min="6" max="6" width="18" hidden="0" customWidth="1"/>
    <x:col min="7" max="7" width="34" hidden="0" customWidth="1"/>
    <x:col min="8" max="8" width="52" hidden="0" customWidth="1"/>
  </x:cols>
  <x:sheetData>
    <x:row r="1">
      <x:c r="A1" s="72" t="str">
        <x:v>优先精读30篇</x:v>
      </x:c>
      <x:c r="B1" s="72"/>
      <x:c r="C1" s="72"/>
      <x:c r="D1" s="72"/>
      <x:c r="E1" s="72"/>
      <x:c r="F1" s="72"/>
      <x:c r="G1" s="72"/>
      <x:c r="H1" s="72"/>
    </x:row>
    <x:row r="3">
      <x:c r="A3" s="74" t="str">
        <x:v>序号</x:v>
      </x:c>
      <x:c r="B3" s="74" t="str">
        <x:v>作者</x:v>
      </x:c>
      <x:c r="C3" s="74" t="str">
        <x:v>题名</x:v>
      </x:c>
      <x:c r="D3" s="74" t="str">
        <x:v>来源</x:v>
      </x:c>
      <x:c r="E3" s="74" t="str">
        <x:v>年份</x:v>
      </x:c>
      <x:c r="F3" s="74" t="str">
        <x:v>研究主题</x:v>
      </x:c>
      <x:c r="G3" s="74" t="str">
        <x:v>优先理由</x:v>
      </x:c>
      <x:c r="H3" s="74" t="str">
        <x:v>链接</x:v>
      </x:c>
    </x:row>
    <x:row r="4">
      <x:c r="A4" s="75" t="n">
        <x:v>1</x:v>
      </x:c>
      <x:c r="B4" s="77" t="str">
        <x:v>王可园、张琰</x:v>
      </x:c>
      <x:c r="C4" s="77" t="str">
        <x:v>习近平总书记关于党的建设的重要思想研究述评</x:v>
      </x:c>
      <x:c r="D4" s="77" t="str">
        <x:v>观察与思考</x:v>
      </x:c>
      <x:c r="E4" s="77" t="str">
        <x:v>2024</x:v>
      </x:c>
      <x:c r="F4" s="77" t="str">
        <x:v>研究述评</x:v>
      </x:c>
      <x:c r="G4" s="77" t="str">
        <x:v>核心综述</x:v>
      </x:c>
      <x:c r="H4" s="77" t="str">
        <x:v>https://gcys.cbpt.cnki.net/portal/journal/portal/client/paper/26324328521d222080dc8a2a1e3c8e89</x:v>
      </x:c>
    </x:row>
    <x:row r="5">
      <x:c r="A5" s="75" t="n">
        <x:v>2</x:v>
      </x:c>
      <x:c r="B5" s="77" t="str">
        <x:v>李包庚</x:v>
      </x:c>
      <x:c r="C5" s="77" t="str">
        <x:v>习近平党建思想的人民性与原创性贡献</x:v>
      </x:c>
      <x:c r="D5" s="77" t="str">
        <x:v>浙江社会科学</x:v>
      </x:c>
      <x:c r="E5" s="77" t="str">
        <x:v>2026</x:v>
      </x:c>
      <x:c r="F5" s="77" t="str">
        <x:v>人民性</x:v>
      </x:c>
      <x:c r="G5" s="77" t="str">
        <x:v>重点支撑</x:v>
      </x:c>
      <x:c r="H5" s="77" t="str">
        <x:v>https://zjsh.cbpt.cnki.net/portal/journal/portal/client/paper/b02e52c85070e4b3a13e167a219c1e4a</x:v>
      </x:c>
    </x:row>
    <x:row r="6">
      <x:c r="A6" s="75" t="n">
        <x:v>3</x:v>
      </x:c>
      <x:c r="B6" s="77" t="str">
        <x:v>郭冰清、沈正赋</x:v>
      </x:c>
      <x:c r="C6" s="77" t="str">
        <x:v>守正创新：习近平党建思想世界观和方法论的原创性贡献</x:v>
      </x:c>
      <x:c r="D6" s="77" t="str">
        <x:v>观察与思考</x:v>
      </x:c>
      <x:c r="E6" s="77" t="str">
        <x:v>2026</x:v>
      </x:c>
      <x:c r="F6" s="77" t="str">
        <x:v>方法论</x:v>
      </x:c>
      <x:c r="G6" s="77" t="str">
        <x:v>重点支撑</x:v>
      </x:c>
      <x:c r="H6" s="77" t="str">
        <x:v>https://gcys.cbpt.cnki.net/portal/journal/portal/client/paper/cf3d008abef81592c0993cc2cf23685a</x:v>
      </x:c>
    </x:row>
    <x:row r="7">
      <x:c r="A7" s="75" t="n">
        <x:v>4</x:v>
      </x:c>
      <x:c r="B7" s="77" t="str">
        <x:v>肖贵清</x:v>
      </x:c>
      <x:c r="C7" s="77" t="str">
        <x:v>习近平党建思想对党的执政规律认识的深化</x:v>
      </x:c>
      <x:c r="D7" s="77" t="str">
        <x:v>思想理论教育导刊</x:v>
      </x:c>
      <x:c r="E7" s="77" t="str">
        <x:v>2026</x:v>
      </x:c>
      <x:c r="F7" s="77" t="str">
        <x:v>执政规律</x:v>
      </x:c>
      <x:c r="G7" s="77" t="str">
        <x:v>重点支撑</x:v>
      </x:c>
      <x:c r="H7" s="77" t="str">
        <x:v>https://gxsj.cbpt.cnki.net/portal/journal/portal/client/paper/afacc1d853055240593032881e18f4ff</x:v>
      </x:c>
    </x:row>
    <x:row r="8">
      <x:c r="A8" s="75" t="n">
        <x:v>5</x:v>
      </x:c>
      <x:c r="B8" s="77" t="str">
        <x:v>商继政、李垚</x:v>
      </x:c>
      <x:c r="C8" s="77" t="str">
        <x:v>习近平党建思想标识性概念的提炼机理、图谱建构与功能呈现</x:v>
      </x:c>
      <x:c r="D8" s="77" t="str">
        <x:v>学习与实践</x:v>
      </x:c>
      <x:c r="E8" s="77" t="str">
        <x:v>2026</x:v>
      </x:c>
      <x:c r="F8" s="77" t="str">
        <x:v>标识性概念</x:v>
      </x:c>
      <x:c r="G8" s="77" t="str">
        <x:v>重点竞争</x:v>
      </x:c>
      <x:c r="H8" s="77" t="str">
        <x:v>https://xxys.cbpt.cnki.net/portal/journal/portal/client/paper/b6d4ce046b1584b81f9905ae5f4fcf2a</x:v>
      </x:c>
    </x:row>
    <x:row r="9">
      <x:c r="A9" s="75" t="n">
        <x:v>6</x:v>
      </x:c>
      <x:c r="B9" s="77" t="str">
        <x:v>张雷声、杨洋</x:v>
      </x:c>
      <x:c r="C9" s="77" t="str">
        <x:v>习近平党建思想对马克思主义建党学说的原创性发展</x:v>
      </x:c>
      <x:c r="D9" s="77" t="str">
        <x:v>南通大学学报（社会科学版）</x:v>
      </x:c>
      <x:c r="E9" s="77" t="str">
        <x:v>2026</x:v>
      </x:c>
      <x:c r="F9" s="77" t="str">
        <x:v>理论发展</x:v>
      </x:c>
      <x:c r="G9" s="77" t="str">
        <x:v>重点竞争</x:v>
      </x:c>
      <x:c r="H9" s="77" t="str">
        <x:v>https://ntsx.cbpt.cnki.net/portal/journal/portal/client/paper/080e5d0c0a4cfcee909350a80d1b04dd</x:v>
      </x:c>
    </x:row>
    <x:row r="10">
      <x:c r="A10" s="75" t="n">
        <x:v>7</x:v>
      </x:c>
      <x:c r="B10" s="77" t="str">
        <x:v>陈红娟</x:v>
      </x:c>
      <x:c r="C10" s="77" t="str">
        <x:v>治国、用人与修身：习近平党建思想对中华优秀传统文化传承、转化与创新</x:v>
      </x:c>
      <x:c r="D10" s="77" t="str">
        <x:v>宁夏社会科学</x:v>
      </x:c>
      <x:c r="E10" s="77" t="str">
        <x:v>2026</x:v>
      </x:c>
      <x:c r="F10" s="77" t="str">
        <x:v>第二个结合</x:v>
      </x:c>
      <x:c r="G10" s="77" t="str">
        <x:v>高度相关</x:v>
      </x:c>
      <x:c r="H10" s="77" t="str">
        <x:v>https://lxsk.cbpt.cnki.net/portal/journal/portal/client/paper/70036435a2e7d46dde62aae817c40d82</x:v>
      </x:c>
    </x:row>
    <x:row r="11">
      <x:c r="A11" s="75" t="n">
        <x:v>8</x:v>
      </x:c>
      <x:c r="B11" s="77" t="str">
        <x:v>张浩、孙其英</x:v>
      </x:c>
      <x:c r="C11" s="77" t="str">
        <x:v>习近平党建思想对破解“大党独有难题”的原创性贡献</x:v>
      </x:c>
      <x:c r="D11" s="77" t="str">
        <x:v>浙江工商大学学报</x:v>
      </x:c>
      <x:c r="E11" s="77" t="str">
        <x:v>2026</x:v>
      </x:c>
      <x:c r="F11" s="77" t="str">
        <x:v>大党独有难题</x:v>
      </x:c>
      <x:c r="G11" s="77" t="str">
        <x:v>重点支撑</x:v>
      </x:c>
      <x:c r="H11" s="77" t="str">
        <x:v>https://zjzf.cbpt.cnki.net/portal/journal/portal/client/paper/b24275171c4bd01ac29a877c5c2cba9e</x:v>
      </x:c>
    </x:row>
    <x:row r="12">
      <x:c r="A12" s="75" t="n">
        <x:v>9</x:v>
      </x:c>
      <x:c r="B12" s="77" t="str">
        <x:v>刘炳香</x:v>
      </x:c>
      <x:c r="C12" s="77" t="str">
        <x:v>深刻把握习近平总书记关于党的建设的重要思想的内在逻辑</x:v>
      </x:c>
      <x:c r="D12" s="77" t="str">
        <x:v>党政研究</x:v>
      </x:c>
      <x:c r="E12" s="77" t="str">
        <x:v>2023</x:v>
      </x:c>
      <x:c r="F12" s="77" t="str">
        <x:v>内在逻辑</x:v>
      </x:c>
      <x:c r="G12" s="77" t="str">
        <x:v>重点支撑</x:v>
      </x:c>
      <x:c r="H12" s="77" t="str">
        <x:v>https://gcys.cbpt.cnki.net/portal/journal/portal/client/paper/26324328521d222080dc8a2a1e3c8e89</x:v>
      </x:c>
    </x:row>
    <x:row r="13">
      <x:c r="A13" s="75" t="n">
        <x:v>10</x:v>
      </x:c>
      <x:c r="B13" s="77" t="str">
        <x:v>李捷</x:v>
      </x:c>
      <x:c r="C13" s="77" t="str">
        <x:v>新时代自我革命的思想指导和行动指南——学习习近平总书记关于党的建设的重要思想</x:v>
      </x:c>
      <x:c r="D13" s="77" t="str">
        <x:v>华南理工大学学报（社会科学版）</x:v>
      </x:c>
      <x:c r="E13" s="77" t="str">
        <x:v>2023</x:v>
      </x:c>
      <x:c r="F13" s="77" t="str">
        <x:v>自我革命</x:v>
      </x:c>
      <x:c r="G13" s="77" t="str">
        <x:v>重点支撑</x:v>
      </x:c>
      <x:c r="H13" s="77" t="str">
        <x:v>https://gcys.cbpt.cnki.net/portal/journal/portal/client/paper/26324328521d222080dc8a2a1e3c8e89</x:v>
      </x:c>
    </x:row>
    <x:row r="14">
      <x:c r="A14" s="75" t="n">
        <x:v>11</x:v>
      </x:c>
      <x:c r="B14" s="77" t="str">
        <x:v>冯继康、刘晓彤</x:v>
      </x:c>
      <x:c r="C14" s="77" t="str">
        <x:v>习近平关于党的自我革命重要论述的四维审视</x:v>
      </x:c>
      <x:c r="D14" s="77" t="str">
        <x:v>东岳论丛</x:v>
      </x:c>
      <x:c r="E14" s="77" t="str">
        <x:v>2023</x:v>
      </x:c>
      <x:c r="F14" s="77" t="str">
        <x:v>自我革命</x:v>
      </x:c>
      <x:c r="G14" s="77" t="str">
        <x:v>重点支撑</x:v>
      </x:c>
      <x:c r="H14" s="77" t="str">
        <x:v>https://dylc.cbpt.cnki.net/portal/journal/portal/client/paper/1398d7a1f81416d7be59932c4ea2ee29</x:v>
      </x:c>
    </x:row>
    <x:row r="15">
      <x:c r="A15" s="75" t="n">
        <x:v>12</x:v>
      </x:c>
      <x:c r="B15" s="77" t="str">
        <x:v>宋福范</x:v>
      </x:c>
      <x:c r="C15" s="77" t="str">
        <x:v>论习近平总书记关于党的自我革命的重要思想的原创性贡献</x:v>
      </x:c>
      <x:c r="D15" s="77" t="str">
        <x:v>理论视野</x:v>
      </x:c>
      <x:c r="E15" s="77" t="str">
        <x:v>2026</x:v>
      </x:c>
      <x:c r="F15" s="77" t="str">
        <x:v>自我革命</x:v>
      </x:c>
      <x:c r="G15" s="77" t="str">
        <x:v>重点支撑</x:v>
      </x:c>
      <x:c r="H15" s="77" t="str">
        <x:v>https://cnki.istiz.org.cn/kcms/detail/detail.aspx?dbcode=CJFD&amp;dbname=CJFD2026&amp;filename=LLSY202602003</x:v>
      </x:c>
    </x:row>
    <x:row r="16">
      <x:c r="A16" s="75" t="n">
        <x:v>13</x:v>
      </x:c>
      <x:c r="B16" s="77" t="str">
        <x:v>秦书生、梅可欣</x:v>
      </x:c>
      <x:c r="C16" s="77" t="str">
        <x:v>习近平总书记关于党的自我革命的重要思想的内容体系、理论主线与时代价值</x:v>
      </x:c>
      <x:c r="D16" s="77" t="str">
        <x:v>治理现代化研究</x:v>
      </x:c>
      <x:c r="E16" s="77" t="str">
        <x:v>2025</x:v>
      </x:c>
      <x:c r="F16" s="77" t="str">
        <x:v>自我革命</x:v>
      </x:c>
      <x:c r="G16" s="77" t="str">
        <x:v>重点支撑</x:v>
      </x:c>
      <x:c r="H16" s="77" t="str">
        <x:v>https://zlxd.cbpt.cnki.net/portal/journal/portal/client/paper/44a422c326a93a37430b71665a32e314</x:v>
      </x:c>
    </x:row>
    <x:row r="17">
      <x:c r="A17" s="75" t="n">
        <x:v>14</x:v>
      </x:c>
      <x:c r="B17" s="77" t="str">
        <x:v>张洪松</x:v>
      </x:c>
      <x:c r="C17" s="77" t="str">
        <x:v>准确把握习近平关于依规治党重要论述的深刻意蕴</x:v>
      </x:c>
      <x:c r="D17" s="77" t="str">
        <x:v>马克思主义理论学科研究</x:v>
      </x:c>
      <x:c r="E17" s="77" t="str">
        <x:v>2023</x:v>
      </x:c>
      <x:c r="F17" s="77" t="str">
        <x:v>依规治党</x:v>
      </x:c>
      <x:c r="G17" s="77" t="str">
        <x:v>重点支撑</x:v>
      </x:c>
      <x:c r="H17" s="77" t="str">
        <x:v>https://mlky.cbpt.cnki.net/portal/journal/portal/client/paper/1cfe4f5016135ded6350f245da1897f7</x:v>
      </x:c>
    </x:row>
    <x:row r="18">
      <x:c r="A18" s="75" t="n">
        <x:v>15</x:v>
      </x:c>
      <x:c r="B18" s="77" t="str">
        <x:v>魏烁豪、张荣臣</x:v>
      </x:c>
      <x:c r="C18" s="77" t="str">
        <x:v>习近平总书记关于加强党的作风建设重要论述的传统文化底蕴</x:v>
      </x:c>
      <x:c r="D18" s="77" t="str">
        <x:v>治理现代化研究</x:v>
      </x:c>
      <x:c r="E18" s="77" t="str">
        <x:v>2025</x:v>
      </x:c>
      <x:c r="F18" s="77" t="str">
        <x:v>作风建设/第二个结合</x:v>
      </x:c>
      <x:c r="G18" s="77" t="str">
        <x:v>高度相关</x:v>
      </x:c>
      <x:c r="H18" s="77" t="str">
        <x:v>https://zlxd.cbpt.cnki.net/portal/journal/portal/client/paper/0a20aa0a8f882d71f377bbd7207c9095</x:v>
      </x:c>
    </x:row>
    <x:row r="19">
      <x:c r="A19" s="75" t="n">
        <x:v>16</x:v>
      </x:c>
      <x:c r="B19" s="77" t="str">
        <x:v>王韶兴、侯月英</x:v>
      </x:c>
      <x:c r="C19" s="77" t="str">
        <x:v>大党独有难题的理论意涵、现实指征及其应因机制</x:v>
      </x:c>
      <x:c r="D19" s="77" t="str">
        <x:v>东岳论丛</x:v>
      </x:c>
      <x:c r="E19" s="77" t="str">
        <x:v>2025</x:v>
      </x:c>
      <x:c r="F19" s="77" t="str">
        <x:v>大党独有难题</x:v>
      </x:c>
      <x:c r="G19" s="77" t="str">
        <x:v>重点支撑</x:v>
      </x:c>
      <x:c r="H19" s="77" t="str">
        <x:v>https://dylc.cbpt.cnki.net/portal/journal/portal/client/paper/aa18bae00cf4040e942bf808be10abd7</x:v>
      </x:c>
    </x:row>
    <x:row r="20">
      <x:c r="A20" s="75" t="n">
        <x:v>17</x:v>
      </x:c>
      <x:c r="B20" s="77" t="str">
        <x:v>刘先春、董丽</x:v>
      </x:c>
      <x:c r="C20" s="77" t="str">
        <x:v>中国共产党破解大党独有难题的内在逻辑</x:v>
      </x:c>
      <x:c r="D20" s="77" t="str">
        <x:v>广西大学学报（哲学社会科学版）</x:v>
      </x:c>
      <x:c r="E20" s="77" t="str">
        <x:v>2025</x:v>
      </x:c>
      <x:c r="F20" s="77" t="str">
        <x:v>大党独有难题</x:v>
      </x:c>
      <x:c r="G20" s="77" t="str">
        <x:v>重点支撑</x:v>
      </x:c>
      <x:c r="H20" s="77" t="str">
        <x:v>https://gxzd.cbpt.cnki.net/portal/journal/portal/client/paper/7ac5b61487321d049a6725a59a9cb85c</x:v>
      </x:c>
    </x:row>
    <x:row r="21">
      <x:c r="A21" s="75" t="n">
        <x:v>18</x:v>
      </x:c>
      <x:c r="B21" s="77" t="str">
        <x:v>中共中央组织部</x:v>
      </x:c>
      <x:c r="C21" s="77" t="str">
        <x:v>坚持以习近平党建思想为指引 奋力推进新时代党的建设新的伟大工程</x:v>
      </x:c>
      <x:c r="D21" s="77" t="str">
        <x:v>人民日报</x:v>
      </x:c>
      <x:c r="E21" s="77" t="str">
        <x:v>2026</x:v>
      </x:c>
      <x:c r="F21" s="77" t="str">
        <x:v>权威总论</x:v>
      </x:c>
      <x:c r="G21" s="77" t="str">
        <x:v>一级权威</x:v>
      </x:c>
      <x:c r="H21" s="77" t="str">
        <x:v>https://paper.people.com.cn/rmrb/pc/content/202606/30/content_30165690.html</x:v>
      </x:c>
    </x:row>
    <x:row r="22">
      <x:c r="A22" s="75" t="n">
        <x:v>19</x:v>
      </x:c>
      <x:c r="B22" s="77" t="str">
        <x:v>中央纪委国家监委机关</x:v>
      </x:c>
      <x:c r="C22" s="77" t="str">
        <x:v>深入学习贯彻习近平党建思想 推动新时代新征程纪检监察工作高质量发展</x:v>
      </x:c>
      <x:c r="D22" s="77" t="str">
        <x:v>人民日报</x:v>
      </x:c>
      <x:c r="E22" s="77" t="str">
        <x:v>2026</x:v>
      </x:c>
      <x:c r="F22" s="77" t="str">
        <x:v>纪检监察</x:v>
      </x:c>
      <x:c r="G22" s="77" t="str">
        <x:v>一级权威</x:v>
      </x:c>
      <x:c r="H22" s="77" t="str">
        <x:v>https://paper.people.com.cn/rmrb/pc/content/202607/31/content_30172284.html</x:v>
      </x:c>
    </x:row>
    <x:row r="23">
      <x:c r="A23" s="75" t="n">
        <x:v>20</x:v>
      </x:c>
      <x:c r="B23" s="77" t="str">
        <x:v>人民日报评论员</x:v>
      </x:c>
      <x:c r="C23" s="77" t="str">
        <x:v>加强新时代党的建设的根本遵循</x:v>
      </x:c>
      <x:c r="D23" s="77" t="str">
        <x:v>人民日报</x:v>
      </x:c>
      <x:c r="E23" s="77" t="str">
        <x:v>2026</x:v>
      </x:c>
      <x:c r="F23" s="77" t="str">
        <x:v>权威总论</x:v>
      </x:c>
      <x:c r="G23" s="77" t="str">
        <x:v>一级权威</x:v>
      </x:c>
      <x:c r="H23" s="77" t="str">
        <x:v>https://paper.people.com.cn/rmrb/pc/content/202606/17/content_30163481.html</x:v>
      </x:c>
    </x:row>
    <x:row r="24">
      <x:c r="A24" s="75" t="n">
        <x:v>21</x:v>
      </x:c>
      <x:c r="B24" s="77" t="str">
        <x:v>人民日报理论版</x:v>
      </x:c>
      <x:c r="C24" s="77" t="str">
        <x:v>深入学习领会习近平党建思想的科学内涵</x:v>
      </x:c>
      <x:c r="D24" s="77" t="str">
        <x:v>人民日报</x:v>
      </x:c>
      <x:c r="E24" s="77" t="str">
        <x:v>2026</x:v>
      </x:c>
      <x:c r="F24" s="77" t="str">
        <x:v>科学内涵</x:v>
      </x:c>
      <x:c r="G24" s="77" t="str">
        <x:v>一级权威</x:v>
      </x:c>
      <x:c r="H24" s="77" t="str">
        <x:v>https://paper.people.com.cn/rmrb/pc/content/202607/01/content_30165900.html</x:v>
      </x:c>
    </x:row>
    <x:row r="25">
      <x:c r="A25" s="75" t="n">
        <x:v>22</x:v>
      </x:c>
      <x:c r="B25" s="77" t="str">
        <x:v>人民日报理论版</x:v>
      </x:c>
      <x:c r="C25" s="77" t="str">
        <x:v>深学细悟习近平党建思想“总论”</x:v>
      </x:c>
      <x:c r="D25" s="77" t="str">
        <x:v>人民日报</x:v>
      </x:c>
      <x:c r="E25" s="77" t="str">
        <x:v>2026</x:v>
      </x:c>
      <x:c r="F25" s="77" t="str">
        <x:v>体系结构</x:v>
      </x:c>
      <x:c r="G25" s="77" t="str">
        <x:v>一级权威</x:v>
      </x:c>
      <x:c r="H25" s="77" t="str">
        <x:v>https://paper.people.com.cn/rmrb/pc/content/202609/02/content_30178538.html</x:v>
      </x:c>
    </x:row>
    <x:row r="26">
      <x:c r="A26" s="75" t="n">
        <x:v>23</x:v>
      </x:c>
      <x:c r="B26" s="77" t="str">
        <x:v>人民日报理论版</x:v>
      </x:c>
      <x:c r="C26" s="77" t="str">
        <x:v>习近平党建思想的重大时代价值</x:v>
      </x:c>
      <x:c r="D26" s="77" t="str">
        <x:v>人民日报</x:v>
      </x:c>
      <x:c r="E26" s="77" t="str">
        <x:v>2026</x:v>
      </x:c>
      <x:c r="F26" s="77" t="str">
        <x:v>时代价值</x:v>
      </x:c>
      <x:c r="G26" s="77" t="str">
        <x:v>一级权威</x:v>
      </x:c>
      <x:c r="H26" s="77" t="str">
        <x:v>https://paper.people.com.cn/rmrb/pc/content/202607/24/content_30170724.html</x:v>
      </x:c>
    </x:row>
    <x:row r="27">
      <x:c r="A27" s="75" t="n">
        <x:v>24</x:v>
      </x:c>
      <x:c r="B27" s="77" t="str">
        <x:v>中央党校（国家行政学院）习近平新时代中国特色社会主义思想研究中心</x:v>
      </x:c>
      <x:c r="C27" s="77" t="str">
        <x:v>学深悟透习近平总书记关于党的自我革命的重要思想</x:v>
      </x:c>
      <x:c r="D27" s="77" t="str">
        <x:v>人民日报</x:v>
      </x:c>
      <x:c r="E27" s="77" t="str">
        <x:v>2024</x:v>
      </x:c>
      <x:c r="F27" s="77" t="str">
        <x:v>自我革命</x:v>
      </x:c>
      <x:c r="G27" s="77" t="str">
        <x:v>一级权威</x:v>
      </x:c>
      <x:c r="H27" s="77" t="str">
        <x:v>https://paper.people.com.cn/rmrb/html/2024-01/31/nw.D110000renmrb_20240131_1-09.htm</x:v>
      </x:c>
    </x:row>
    <x:row r="28">
      <x:c r="A28" s="75" t="n">
        <x:v>25</x:v>
      </x:c>
      <x:c r="B28" s="77" t="str">
        <x:v>中央党校（国家行政学院）习近平新时代中国特色社会主义思想研究中心</x:v>
      </x:c>
      <x:c r="C28" s="77" t="str">
        <x:v>从道理学理哲理上深化对党的自我革命的认识</x:v>
      </x:c>
      <x:c r="D28" s="77" t="str">
        <x:v>人民日报</x:v>
      </x:c>
      <x:c r="E28" s="77" t="str">
        <x:v>2024</x:v>
      </x:c>
      <x:c r="F28" s="77" t="str">
        <x:v>自我革命</x:v>
      </x:c>
      <x:c r="G28" s="77" t="str">
        <x:v>一级权威</x:v>
      </x:c>
      <x:c r="H28" s="77" t="str">
        <x:v>https://paper.people.com.cn/rmrb/pc/content/202412/17/content_30046663.html</x:v>
      </x:c>
    </x:row>
    <x:row r="29">
      <x:c r="A29" s="75" t="n">
        <x:v>26</x:v>
      </x:c>
      <x:c r="B29" s="77" t="str">
        <x:v>曲青山</x:v>
      </x:c>
      <x:c r="C29" s="77" t="str">
        <x:v>时刻保持解决大党独有难题的清醒和坚定</x:v>
      </x:c>
      <x:c r="D29" s="77" t="str">
        <x:v>人民日报</x:v>
      </x:c>
      <x:c r="E29" s="77" t="str">
        <x:v>2023</x:v>
      </x:c>
      <x:c r="F29" s="77" t="str">
        <x:v>大党独有难题</x:v>
      </x:c>
      <x:c r="G29" s="77" t="str">
        <x:v>一级权威</x:v>
      </x:c>
      <x:c r="H29" s="77" t="str">
        <x:v>https://paper.people.com.cn/rmrb/html/2023-03/14/nw.D110000renmrb_20230314_1-11.htm</x:v>
      </x:c>
    </x:row>
    <x:row r="30">
      <x:c r="A30" s="75" t="n">
        <x:v>27</x:v>
      </x:c>
      <x:c r="B30" s="77" t="str">
        <x:v>赵淑梅</x:v>
      </x:c>
      <x:c r="C30" s="77" t="str">
        <x:v>健全全面从严治党体系</x:v>
      </x:c>
      <x:c r="D30" s="77" t="str">
        <x:v>人民日报</x:v>
      </x:c>
      <x:c r="E30" s="77" t="str">
        <x:v>2024</x:v>
      </x:c>
      <x:c r="F30" s="77" t="str">
        <x:v>全面从严治党体系</x:v>
      </x:c>
      <x:c r="G30" s="77" t="str">
        <x:v>一级权威</x:v>
      </x:c>
      <x:c r="H30" s="77" t="str">
        <x:v>https://paper.people.com.cn/rmrb/html/2024-11/01/nw.D110000renmrb_20241101_4-09.htm</x:v>
      </x:c>
    </x:row>
    <x:row r="31">
      <x:c r="A31" s="75" t="n">
        <x:v>28</x:v>
      </x:c>
      <x:c r="B31" s="77" t="str">
        <x:v>李新生</x:v>
      </x:c>
      <x:c r="C31" s="77" t="str">
        <x:v>进一步健全全面从严治党体系</x:v>
      </x:c>
      <x:c r="D31" s="77" t="str">
        <x:v>人民日报</x:v>
      </x:c>
      <x:c r="E31" s="77" t="str">
        <x:v>2024</x:v>
      </x:c>
      <x:c r="F31" s="77" t="str">
        <x:v>全面从严治党体系</x:v>
      </x:c>
      <x:c r="G31" s="77" t="str">
        <x:v>一级权威</x:v>
      </x:c>
      <x:c r="H31" s="77" t="str">
        <x:v>https://paper.people.com.cn/rmrb/html/2024-08/02/nw.D110000renmrb_20240802_4-09.htm</x:v>
      </x:c>
    </x:row>
    <x:row r="32">
      <x:c r="A32" s="76" t="n">
        <x:v>29</x:v>
      </x:c>
      <x:c r="B32" s="78" t="str">
        <x:v>曲晓霜</x:v>
      </x:c>
      <x:c r="C32" s="78" t="str">
        <x:v>从中华文化基因把握党的自我革命</x:v>
      </x:c>
      <x:c r="D32" s="78" t="str">
        <x:v>人民日报</x:v>
      </x:c>
      <x:c r="E32" s="78" t="str">
        <x:v>2024</x:v>
      </x:c>
      <x:c r="F32" s="78" t="str">
        <x:v>第二个结合</x:v>
      </x:c>
      <x:c r="G32" s="78" t="str">
        <x:v>高度相关</x:v>
      </x:c>
      <x:c r="H32" s="78" t="str">
        <x:v>https://paper.people.com.cn/rmrb/html/2024-08/01/nw.D110000renmrb_20240801_4-09.htm</x:v>
      </x:c>
    </x:row>
  </x:sheetData>
  <x:mergeCells>
    <x:mergeCell ref="A1:H1"/>
  </x:mergeCells>
  <x:pageMargins left="0.7" right="0.7" top="0.75" bottom="0.75" header="0.3" footer="0.3"/>
</x:worksheet>
</file>